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F:\Work\RCMP\speech_recognition\"/>
    </mc:Choice>
  </mc:AlternateContent>
  <xr:revisionPtr revIDLastSave="0" documentId="13_ncr:1_{90E88A9B-85E8-4D04-93AB-70D25E037B7D}" xr6:coauthVersionLast="47" xr6:coauthVersionMax="47" xr10:uidLastSave="{00000000-0000-0000-0000-000000000000}"/>
  <bookViews>
    <workbookView xWindow="28680" yWindow="-9285" windowWidth="29040" windowHeight="16440" activeTab="3" xr2:uid="{00000000-000D-0000-FFFF-FFFF00000000}"/>
  </bookViews>
  <sheets>
    <sheet name="whisper-base" sheetId="1" r:id="rId1"/>
    <sheet name="whisper-large-v3" sheetId="2" r:id="rId2"/>
    <sheet name="wav2vec2_arabic" sheetId="4" r:id="rId3"/>
    <sheet name="comparison"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3" l="1"/>
  <c r="P10" i="3"/>
  <c r="P9" i="3"/>
  <c r="I9"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2" i="3"/>
  <c r="F3"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2" i="3"/>
  <c r="J26" i="3"/>
  <c r="I6" i="3"/>
  <c r="I38" i="3"/>
  <c r="F4" i="3"/>
  <c r="F5" i="3"/>
  <c r="J5" i="3" s="1"/>
  <c r="F6" i="3"/>
  <c r="G6" i="3" s="1"/>
  <c r="F7" i="3"/>
  <c r="J7" i="3" s="1"/>
  <c r="F8" i="3"/>
  <c r="J8" i="3" s="1"/>
  <c r="F9" i="3"/>
  <c r="J9" i="3" s="1"/>
  <c r="F10" i="3"/>
  <c r="J10" i="3" s="1"/>
  <c r="F11" i="3"/>
  <c r="J11" i="3" s="1"/>
  <c r="F12" i="3"/>
  <c r="J12" i="3" s="1"/>
  <c r="F13" i="3"/>
  <c r="F14" i="3"/>
  <c r="J14" i="3" s="1"/>
  <c r="F15" i="3"/>
  <c r="J15" i="3" s="1"/>
  <c r="F16" i="3"/>
  <c r="J16" i="3" s="1"/>
  <c r="F17" i="3"/>
  <c r="J17" i="3" s="1"/>
  <c r="F18" i="3"/>
  <c r="F19" i="3"/>
  <c r="F20" i="3"/>
  <c r="F21" i="3"/>
  <c r="J21" i="3" s="1"/>
  <c r="F22" i="3"/>
  <c r="G22" i="3" s="1"/>
  <c r="F23" i="3"/>
  <c r="J23" i="3" s="1"/>
  <c r="F24" i="3"/>
  <c r="J24" i="3" s="1"/>
  <c r="F25" i="3"/>
  <c r="J25" i="3" s="1"/>
  <c r="F26" i="3"/>
  <c r="F27" i="3"/>
  <c r="J27" i="3" s="1"/>
  <c r="F28" i="3"/>
  <c r="J28" i="3" s="1"/>
  <c r="F29" i="3"/>
  <c r="J29" i="3" s="1"/>
  <c r="F30" i="3"/>
  <c r="F31" i="3"/>
  <c r="F32" i="3"/>
  <c r="J32" i="3" s="1"/>
  <c r="F33" i="3"/>
  <c r="J33" i="3" s="1"/>
  <c r="F34" i="3"/>
  <c r="F35" i="3"/>
  <c r="F36" i="3"/>
  <c r="F37" i="3"/>
  <c r="J37" i="3" s="1"/>
  <c r="F38" i="3"/>
  <c r="G38" i="3" s="1"/>
  <c r="F39" i="3"/>
  <c r="F40" i="3"/>
  <c r="J40" i="3" s="1"/>
  <c r="F41" i="3"/>
  <c r="F42" i="3"/>
  <c r="J42" i="3" s="1"/>
  <c r="F43" i="3"/>
  <c r="F44" i="3"/>
  <c r="J44" i="3" s="1"/>
  <c r="F45" i="3"/>
  <c r="F46" i="3"/>
  <c r="F47" i="3"/>
  <c r="F48" i="3"/>
  <c r="J48" i="3" s="1"/>
  <c r="F49" i="3"/>
  <c r="J49" i="3" s="1"/>
  <c r="F50" i="3"/>
  <c r="F51" i="3"/>
  <c r="F52" i="3"/>
  <c r="F53" i="3"/>
  <c r="J53" i="3" s="1"/>
  <c r="F54" i="3"/>
  <c r="G54" i="3" s="1"/>
  <c r="F55" i="3"/>
  <c r="J55" i="3" s="1"/>
  <c r="F56" i="3"/>
  <c r="J56" i="3" s="1"/>
  <c r="F57" i="3"/>
  <c r="J57" i="3" s="1"/>
  <c r="F58" i="3"/>
  <c r="J58" i="3" s="1"/>
  <c r="F59" i="3"/>
  <c r="J59" i="3" s="1"/>
  <c r="F60" i="3"/>
  <c r="J60" i="3" s="1"/>
  <c r="F61" i="3"/>
  <c r="J61" i="3" s="1"/>
  <c r="F62" i="3"/>
  <c r="J62" i="3" s="1"/>
  <c r="F63" i="3"/>
  <c r="J63" i="3" s="1"/>
  <c r="F64" i="3"/>
  <c r="J64" i="3" s="1"/>
  <c r="F65" i="3"/>
  <c r="J65" i="3" s="1"/>
  <c r="F66" i="3"/>
  <c r="F67" i="3"/>
  <c r="F68" i="3"/>
  <c r="F69" i="3"/>
  <c r="J69" i="3" s="1"/>
  <c r="F70" i="3"/>
  <c r="G70" i="3" s="1"/>
  <c r="F71" i="3"/>
  <c r="J71" i="3" s="1"/>
  <c r="F72" i="3"/>
  <c r="G72" i="3" s="1"/>
  <c r="F73" i="3"/>
  <c r="J73" i="3" s="1"/>
  <c r="F74" i="3"/>
  <c r="J74" i="3" s="1"/>
  <c r="F75" i="3"/>
  <c r="J75" i="3" s="1"/>
  <c r="F76" i="3"/>
  <c r="J76" i="3" s="1"/>
  <c r="F77" i="3"/>
  <c r="J77" i="3" s="1"/>
  <c r="F78" i="3"/>
  <c r="F79" i="3"/>
  <c r="J79" i="3" s="1"/>
  <c r="F80" i="3"/>
  <c r="J80" i="3" s="1"/>
  <c r="F81" i="3"/>
  <c r="J81" i="3" s="1"/>
  <c r="F82" i="3"/>
  <c r="F83" i="3"/>
  <c r="F84" i="3"/>
  <c r="J84" i="3" s="1"/>
  <c r="F85" i="3"/>
  <c r="J85" i="3" s="1"/>
  <c r="F86" i="3"/>
  <c r="G86" i="3" s="1"/>
  <c r="F87" i="3"/>
  <c r="J87" i="3" s="1"/>
  <c r="F88" i="3"/>
  <c r="J88" i="3" s="1"/>
  <c r="F89" i="3"/>
  <c r="J89" i="3" s="1"/>
  <c r="F90" i="3"/>
  <c r="J90" i="3" s="1"/>
  <c r="F91" i="3"/>
  <c r="J91" i="3" s="1"/>
  <c r="F92" i="3"/>
  <c r="F93" i="3"/>
  <c r="F94" i="3"/>
  <c r="J94" i="3" s="1"/>
  <c r="F95" i="3"/>
  <c r="J95" i="3" s="1"/>
  <c r="F96" i="3"/>
  <c r="J96" i="3" s="1"/>
  <c r="F97" i="3"/>
  <c r="J97" i="3" s="1"/>
  <c r="F98" i="3"/>
  <c r="F99" i="3"/>
  <c r="F100" i="3"/>
  <c r="F101" i="3"/>
  <c r="F2" i="3"/>
  <c r="G2" i="3" s="1"/>
  <c r="E3" i="3"/>
  <c r="I3" i="3" s="1"/>
  <c r="E4" i="3"/>
  <c r="I4" i="3" s="1"/>
  <c r="E5" i="3"/>
  <c r="I5" i="3" s="1"/>
  <c r="E6" i="3"/>
  <c r="E7" i="3"/>
  <c r="I7" i="3" s="1"/>
  <c r="E8" i="3"/>
  <c r="I8" i="3" s="1"/>
  <c r="E9" i="3"/>
  <c r="E10" i="3"/>
  <c r="G10" i="3" s="1"/>
  <c r="E11" i="3"/>
  <c r="I11" i="3" s="1"/>
  <c r="E12" i="3"/>
  <c r="I12" i="3" s="1"/>
  <c r="E13" i="3"/>
  <c r="I13" i="3" s="1"/>
  <c r="E14" i="3"/>
  <c r="I14" i="3" s="1"/>
  <c r="E15" i="3"/>
  <c r="I15" i="3" s="1"/>
  <c r="E16" i="3"/>
  <c r="I16" i="3" s="1"/>
  <c r="E17" i="3"/>
  <c r="I17" i="3" s="1"/>
  <c r="E18" i="3"/>
  <c r="I18" i="3" s="1"/>
  <c r="E19" i="3"/>
  <c r="I19" i="3" s="1"/>
  <c r="E20" i="3"/>
  <c r="I20" i="3" s="1"/>
  <c r="E21" i="3"/>
  <c r="I21" i="3" s="1"/>
  <c r="E22" i="3"/>
  <c r="I22" i="3" s="1"/>
  <c r="E23" i="3"/>
  <c r="I23" i="3" s="1"/>
  <c r="E24" i="3"/>
  <c r="I24" i="3" s="1"/>
  <c r="E25" i="3"/>
  <c r="I25" i="3" s="1"/>
  <c r="E26" i="3"/>
  <c r="I26" i="3" s="1"/>
  <c r="E27" i="3"/>
  <c r="I27" i="3" s="1"/>
  <c r="E28" i="3"/>
  <c r="I28" i="3" s="1"/>
  <c r="E29" i="3"/>
  <c r="I29" i="3" s="1"/>
  <c r="E30" i="3"/>
  <c r="I30" i="3" s="1"/>
  <c r="E31" i="3"/>
  <c r="I31" i="3" s="1"/>
  <c r="E32" i="3"/>
  <c r="I32" i="3" s="1"/>
  <c r="E33" i="3"/>
  <c r="I33" i="3" s="1"/>
  <c r="E34" i="3"/>
  <c r="I34" i="3" s="1"/>
  <c r="E35" i="3"/>
  <c r="I35" i="3" s="1"/>
  <c r="E36" i="3"/>
  <c r="I36" i="3" s="1"/>
  <c r="E37" i="3"/>
  <c r="I37" i="3" s="1"/>
  <c r="E38" i="3"/>
  <c r="E39" i="3"/>
  <c r="I39" i="3" s="1"/>
  <c r="E40" i="3"/>
  <c r="I40" i="3" s="1"/>
  <c r="E41" i="3"/>
  <c r="I41" i="3" s="1"/>
  <c r="E42" i="3"/>
  <c r="I42" i="3" s="1"/>
  <c r="E43" i="3"/>
  <c r="I43" i="3" s="1"/>
  <c r="E44" i="3"/>
  <c r="I44" i="3" s="1"/>
  <c r="E45" i="3"/>
  <c r="I45" i="3" s="1"/>
  <c r="E46" i="3"/>
  <c r="I46" i="3" s="1"/>
  <c r="E47" i="3"/>
  <c r="I47" i="3" s="1"/>
  <c r="E48" i="3"/>
  <c r="E49" i="3"/>
  <c r="E50" i="3"/>
  <c r="I50" i="3" s="1"/>
  <c r="E51" i="3"/>
  <c r="I51" i="3" s="1"/>
  <c r="E52" i="3"/>
  <c r="I52" i="3" s="1"/>
  <c r="E53" i="3"/>
  <c r="I53" i="3" s="1"/>
  <c r="E54" i="3"/>
  <c r="I54" i="3" s="1"/>
  <c r="E55" i="3"/>
  <c r="I55" i="3" s="1"/>
  <c r="E56" i="3"/>
  <c r="I56" i="3" s="1"/>
  <c r="E57" i="3"/>
  <c r="E58" i="3"/>
  <c r="I58" i="3" s="1"/>
  <c r="E59" i="3"/>
  <c r="I59" i="3" s="1"/>
  <c r="E60" i="3"/>
  <c r="I60" i="3" s="1"/>
  <c r="E61" i="3"/>
  <c r="I61" i="3" s="1"/>
  <c r="E62" i="3"/>
  <c r="I62" i="3" s="1"/>
  <c r="E63" i="3"/>
  <c r="I63" i="3" s="1"/>
  <c r="E64" i="3"/>
  <c r="I64" i="3" s="1"/>
  <c r="E65" i="3"/>
  <c r="I65" i="3" s="1"/>
  <c r="E66" i="3"/>
  <c r="I66" i="3" s="1"/>
  <c r="E67" i="3"/>
  <c r="I67" i="3" s="1"/>
  <c r="E68" i="3"/>
  <c r="I68" i="3" s="1"/>
  <c r="E69" i="3"/>
  <c r="I69" i="3" s="1"/>
  <c r="E70" i="3"/>
  <c r="I70" i="3" s="1"/>
  <c r="E71" i="3"/>
  <c r="I71" i="3" s="1"/>
  <c r="E72" i="3"/>
  <c r="I72" i="3" s="1"/>
  <c r="E73" i="3"/>
  <c r="I73" i="3" s="1"/>
  <c r="E74" i="3"/>
  <c r="I74" i="3" s="1"/>
  <c r="E75" i="3"/>
  <c r="I75" i="3" s="1"/>
  <c r="E76" i="3"/>
  <c r="I76" i="3" s="1"/>
  <c r="E77" i="3"/>
  <c r="I77" i="3" s="1"/>
  <c r="E78" i="3"/>
  <c r="I78" i="3" s="1"/>
  <c r="E79" i="3"/>
  <c r="I79" i="3" s="1"/>
  <c r="E80" i="3"/>
  <c r="I80" i="3" s="1"/>
  <c r="E81" i="3"/>
  <c r="I81" i="3" s="1"/>
  <c r="E82" i="3"/>
  <c r="I82" i="3" s="1"/>
  <c r="E83" i="3"/>
  <c r="I83" i="3" s="1"/>
  <c r="E84" i="3"/>
  <c r="I84" i="3" s="1"/>
  <c r="E85" i="3"/>
  <c r="I85" i="3" s="1"/>
  <c r="E86" i="3"/>
  <c r="I86" i="3" s="1"/>
  <c r="E87" i="3"/>
  <c r="I87" i="3" s="1"/>
  <c r="E88" i="3"/>
  <c r="I88" i="3" s="1"/>
  <c r="E89" i="3"/>
  <c r="I89" i="3" s="1"/>
  <c r="E90" i="3"/>
  <c r="I90" i="3" s="1"/>
  <c r="E91" i="3"/>
  <c r="I91" i="3" s="1"/>
  <c r="E92" i="3"/>
  <c r="I92" i="3" s="1"/>
  <c r="E93" i="3"/>
  <c r="I93" i="3" s="1"/>
  <c r="E94" i="3"/>
  <c r="I94" i="3" s="1"/>
  <c r="E95" i="3"/>
  <c r="I95" i="3" s="1"/>
  <c r="E96" i="3"/>
  <c r="E97" i="3"/>
  <c r="I97" i="3" s="1"/>
  <c r="E98" i="3"/>
  <c r="I98" i="3" s="1"/>
  <c r="E99" i="3"/>
  <c r="I99" i="3" s="1"/>
  <c r="E100" i="3"/>
  <c r="I100" i="3" s="1"/>
  <c r="E101" i="3"/>
  <c r="I101" i="3" s="1"/>
  <c r="E2" i="3"/>
  <c r="I2" i="3" s="1"/>
  <c r="A3" i="3"/>
  <c r="A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C30" i="3" s="1"/>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2" i="3"/>
  <c r="A39" i="3"/>
  <c r="A40" i="3"/>
  <c r="A41" i="3"/>
  <c r="A42" i="3"/>
  <c r="A43" i="3"/>
  <c r="A44" i="3"/>
  <c r="A45" i="3"/>
  <c r="A46" i="3"/>
  <c r="A47" i="3"/>
  <c r="A48" i="3"/>
  <c r="A49" i="3"/>
  <c r="A50" i="3"/>
  <c r="A51" i="3"/>
  <c r="A52" i="3"/>
  <c r="C52" i="3" s="1"/>
  <c r="A53" i="3"/>
  <c r="A54" i="3"/>
  <c r="A55" i="3"/>
  <c r="A56" i="3"/>
  <c r="A57" i="3"/>
  <c r="A58" i="3"/>
  <c r="A59" i="3"/>
  <c r="A60" i="3"/>
  <c r="A61" i="3"/>
  <c r="A62" i="3"/>
  <c r="A63" i="3"/>
  <c r="A64" i="3"/>
  <c r="A65" i="3"/>
  <c r="A66" i="3"/>
  <c r="A67" i="3"/>
  <c r="A68" i="3"/>
  <c r="C68" i="3" s="1"/>
  <c r="A69" i="3"/>
  <c r="A70" i="3"/>
  <c r="A71" i="3"/>
  <c r="A72" i="3"/>
  <c r="C72" i="3" s="1"/>
  <c r="A73" i="3"/>
  <c r="A74" i="3"/>
  <c r="A75" i="3"/>
  <c r="A76" i="3"/>
  <c r="A77" i="3"/>
  <c r="A78" i="3"/>
  <c r="A79" i="3"/>
  <c r="A80" i="3"/>
  <c r="A81" i="3"/>
  <c r="A82" i="3"/>
  <c r="A83" i="3"/>
  <c r="A84" i="3"/>
  <c r="C84" i="3" s="1"/>
  <c r="A85" i="3"/>
  <c r="A86" i="3"/>
  <c r="A87" i="3"/>
  <c r="A88" i="3"/>
  <c r="A89" i="3"/>
  <c r="A90" i="3"/>
  <c r="A91" i="3"/>
  <c r="A92" i="3"/>
  <c r="A93" i="3"/>
  <c r="A94" i="3"/>
  <c r="A95" i="3"/>
  <c r="A96" i="3"/>
  <c r="A97" i="3"/>
  <c r="A98" i="3"/>
  <c r="A99" i="3"/>
  <c r="A100" i="3"/>
  <c r="A101" i="3"/>
  <c r="A21" i="3"/>
  <c r="A22" i="3"/>
  <c r="A23" i="3"/>
  <c r="A24" i="3"/>
  <c r="A25" i="3"/>
  <c r="A26" i="3"/>
  <c r="A27" i="3"/>
  <c r="A28" i="3"/>
  <c r="A29" i="3"/>
  <c r="A30" i="3"/>
  <c r="A31" i="3"/>
  <c r="C31" i="3" s="1"/>
  <c r="A32" i="3"/>
  <c r="A33" i="3"/>
  <c r="A34" i="3"/>
  <c r="A35" i="3"/>
  <c r="A36" i="3"/>
  <c r="A37" i="3"/>
  <c r="A38" i="3"/>
  <c r="A4" i="3"/>
  <c r="A5" i="3"/>
  <c r="A6" i="3"/>
  <c r="A7" i="3"/>
  <c r="A8" i="3"/>
  <c r="A9" i="3"/>
  <c r="A10" i="3"/>
  <c r="A11" i="3"/>
  <c r="A12" i="3"/>
  <c r="A13" i="3"/>
  <c r="A14" i="3"/>
  <c r="A15" i="3"/>
  <c r="A16" i="3"/>
  <c r="A17" i="3"/>
  <c r="A18" i="3"/>
  <c r="A19" i="3"/>
  <c r="A20" i="3"/>
  <c r="C4" i="3" l="1"/>
  <c r="G78" i="3"/>
  <c r="G46" i="3"/>
  <c r="G30" i="3"/>
  <c r="J46" i="3"/>
  <c r="C47" i="3"/>
  <c r="G31" i="3"/>
  <c r="G47" i="3"/>
  <c r="C16" i="3"/>
  <c r="G93" i="3"/>
  <c r="G45" i="3"/>
  <c r="G13" i="3"/>
  <c r="C79" i="3"/>
  <c r="C14" i="3"/>
  <c r="J86" i="3"/>
  <c r="G90" i="3"/>
  <c r="J47" i="3"/>
  <c r="G39" i="3"/>
  <c r="C24" i="3"/>
  <c r="G97" i="3"/>
  <c r="G49" i="3"/>
  <c r="G17" i="3"/>
  <c r="C36" i="3"/>
  <c r="G14" i="3"/>
  <c r="G92" i="3"/>
  <c r="C11" i="3"/>
  <c r="G26" i="3"/>
  <c r="J72" i="3"/>
  <c r="G41" i="3"/>
  <c r="C71" i="3"/>
  <c r="C23" i="3"/>
  <c r="C2" i="3"/>
  <c r="C46" i="3"/>
  <c r="J6" i="3"/>
  <c r="G81" i="3"/>
  <c r="G33" i="3"/>
  <c r="I10" i="3"/>
  <c r="G25" i="3"/>
  <c r="C32" i="3"/>
  <c r="G24" i="3"/>
  <c r="J93" i="3"/>
  <c r="C63" i="3"/>
  <c r="J92" i="3"/>
  <c r="C77" i="3"/>
  <c r="C29" i="3"/>
  <c r="G57" i="3"/>
  <c r="J41" i="3"/>
  <c r="G44" i="3"/>
  <c r="C78" i="3"/>
  <c r="G43" i="3"/>
  <c r="G71" i="3"/>
  <c r="N10" i="3"/>
  <c r="J31" i="3"/>
  <c r="C45" i="3"/>
  <c r="C7" i="3"/>
  <c r="G73" i="3"/>
  <c r="G27" i="3"/>
  <c r="C88" i="3"/>
  <c r="C40" i="3"/>
  <c r="G74" i="3"/>
  <c r="G58" i="3"/>
  <c r="G65" i="3"/>
  <c r="J78" i="3"/>
  <c r="J30" i="3"/>
  <c r="C86" i="3"/>
  <c r="C70" i="3"/>
  <c r="C38" i="3"/>
  <c r="C22" i="3"/>
  <c r="G62" i="3"/>
  <c r="C87" i="3"/>
  <c r="J70" i="3"/>
  <c r="G60" i="3"/>
  <c r="I49" i="3"/>
  <c r="G96" i="3"/>
  <c r="G80" i="3"/>
  <c r="G32" i="3"/>
  <c r="C33" i="3"/>
  <c r="G94" i="3"/>
  <c r="C39" i="3"/>
  <c r="G64" i="3"/>
  <c r="G48" i="3"/>
  <c r="C93" i="3"/>
  <c r="C61" i="3"/>
  <c r="C12" i="3"/>
  <c r="O10" i="3"/>
  <c r="C92" i="3"/>
  <c r="C91" i="3"/>
  <c r="C75" i="3"/>
  <c r="C59" i="3"/>
  <c r="C43" i="3"/>
  <c r="C27" i="3"/>
  <c r="N9" i="3"/>
  <c r="G91" i="3"/>
  <c r="G23" i="3"/>
  <c r="I57" i="3"/>
  <c r="J45" i="3"/>
  <c r="C90" i="3"/>
  <c r="C58" i="3"/>
  <c r="C10" i="3"/>
  <c r="C89" i="3"/>
  <c r="C73" i="3"/>
  <c r="C57" i="3"/>
  <c r="C41" i="3"/>
  <c r="C25" i="3"/>
  <c r="C9" i="3"/>
  <c r="G89" i="3"/>
  <c r="G63" i="3"/>
  <c r="G42" i="3"/>
  <c r="G16" i="3"/>
  <c r="J43" i="3"/>
  <c r="J22" i="3"/>
  <c r="C94" i="3"/>
  <c r="C44" i="3"/>
  <c r="C74" i="3"/>
  <c r="C42" i="3"/>
  <c r="C56" i="3"/>
  <c r="C8" i="3"/>
  <c r="G88" i="3"/>
  <c r="G15" i="3"/>
  <c r="C28" i="3"/>
  <c r="C26" i="3"/>
  <c r="C55" i="3"/>
  <c r="G87" i="3"/>
  <c r="G61" i="3"/>
  <c r="G40" i="3"/>
  <c r="C60" i="3"/>
  <c r="I96" i="3"/>
  <c r="G59" i="3"/>
  <c r="G12" i="3"/>
  <c r="J39" i="3"/>
  <c r="J13" i="3"/>
  <c r="C20" i="3"/>
  <c r="G101" i="3"/>
  <c r="G85" i="3"/>
  <c r="G69" i="3"/>
  <c r="G53" i="3"/>
  <c r="G37" i="3"/>
  <c r="G21" i="3"/>
  <c r="G5" i="3"/>
  <c r="G79" i="3"/>
  <c r="G11" i="3"/>
  <c r="J38" i="3"/>
  <c r="C62" i="3"/>
  <c r="J100" i="3"/>
  <c r="G100" i="3"/>
  <c r="G84" i="3"/>
  <c r="J68" i="3"/>
  <c r="G68" i="3"/>
  <c r="J36" i="3"/>
  <c r="G36" i="3"/>
  <c r="G20" i="3"/>
  <c r="J20" i="3"/>
  <c r="J4" i="3"/>
  <c r="G4" i="3"/>
  <c r="J99" i="3"/>
  <c r="G99" i="3"/>
  <c r="J83" i="3"/>
  <c r="G83" i="3"/>
  <c r="J67" i="3"/>
  <c r="G67" i="3"/>
  <c r="J51" i="3"/>
  <c r="G51" i="3"/>
  <c r="J35" i="3"/>
  <c r="G35" i="3"/>
  <c r="G19" i="3"/>
  <c r="J19" i="3"/>
  <c r="J3" i="3"/>
  <c r="G3" i="3"/>
  <c r="G77" i="3"/>
  <c r="G56" i="3"/>
  <c r="G9" i="3"/>
  <c r="I48" i="3"/>
  <c r="C76" i="3"/>
  <c r="C6" i="3"/>
  <c r="G98" i="3"/>
  <c r="G82" i="3"/>
  <c r="G66" i="3"/>
  <c r="G50" i="3"/>
  <c r="G34" i="3"/>
  <c r="G18" i="3"/>
  <c r="G76" i="3"/>
  <c r="G55" i="3"/>
  <c r="G29" i="3"/>
  <c r="G8" i="3"/>
  <c r="J2" i="3"/>
  <c r="C80" i="3"/>
  <c r="G75" i="3"/>
  <c r="G28" i="3"/>
  <c r="G7" i="3"/>
  <c r="J101" i="3"/>
  <c r="C54" i="3"/>
  <c r="J52" i="3"/>
  <c r="G52" i="3"/>
  <c r="C96" i="3"/>
  <c r="C64" i="3"/>
  <c r="C48" i="3"/>
  <c r="C95" i="3"/>
  <c r="G95" i="3"/>
  <c r="O9" i="3"/>
  <c r="J54" i="3"/>
  <c r="C85" i="3"/>
  <c r="C37" i="3"/>
  <c r="J98" i="3"/>
  <c r="J82" i="3"/>
  <c r="J66" i="3"/>
  <c r="J50" i="3"/>
  <c r="J34" i="3"/>
  <c r="C15" i="3"/>
  <c r="C99" i="3"/>
  <c r="C83" i="3"/>
  <c r="C67" i="3"/>
  <c r="C51" i="3"/>
  <c r="C35" i="3"/>
  <c r="C19" i="3"/>
  <c r="C3" i="3"/>
  <c r="C98" i="3"/>
  <c r="C82" i="3"/>
  <c r="C66" i="3"/>
  <c r="C50" i="3"/>
  <c r="C34" i="3"/>
  <c r="C18" i="3"/>
  <c r="C101" i="3"/>
  <c r="C69" i="3"/>
  <c r="C53" i="3"/>
  <c r="C21" i="3"/>
  <c r="C5" i="3"/>
  <c r="C100" i="3"/>
  <c r="J18" i="3"/>
  <c r="C13" i="3"/>
  <c r="C97" i="3"/>
  <c r="C81" i="3"/>
  <c r="C65" i="3"/>
  <c r="C49" i="3"/>
  <c r="C17" i="3"/>
  <c r="N11" i="3" l="1"/>
  <c r="O11" i="3"/>
</calcChain>
</file>

<file path=xl/sharedStrings.xml><?xml version="1.0" encoding="utf-8"?>
<sst xmlns="http://schemas.openxmlformats.org/spreadsheetml/2006/main" count="1540" uniqueCount="690">
  <si>
    <t>audio_path</t>
  </si>
  <si>
    <t>reference</t>
  </si>
  <si>
    <t>prediction</t>
  </si>
  <si>
    <t>wer</t>
  </si>
  <si>
    <t>reference_en</t>
  </si>
  <si>
    <t>prediction_en</t>
  </si>
  <si>
    <t>semantic_similarity</t>
  </si>
  <si>
    <t>common_voice_ar_19216700.mp3</t>
  </si>
  <si>
    <t>ألديك قلم ؟</t>
  </si>
  <si>
    <t>الديكة خلم</t>
  </si>
  <si>
    <t>do you have a pen?</t>
  </si>
  <si>
    <t>roosters dream</t>
  </si>
  <si>
    <t>common_voice_ar_19242995.mp3</t>
  </si>
  <si>
    <t>أين المشكلة ؟</t>
  </si>
  <si>
    <t>هنا المشكل</t>
  </si>
  <si>
    <t>what's the problem?</t>
  </si>
  <si>
    <t>here's the problem</t>
  </si>
  <si>
    <t>common_voice_ar_19967173.mp3</t>
  </si>
  <si>
    <t>إنك تتكلم كأمك</t>
  </si>
  <si>
    <t>إنه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t>
  </si>
  <si>
    <t>you talk like your mother</t>
  </si>
  <si>
    <t>it is very ...</t>
  </si>
  <si>
    <t>common_voice_ar_19235572.mp3</t>
  </si>
  <si>
    <t>تقوم أمي بإعداد كعكة لأجل أبي</t>
  </si>
  <si>
    <t>تقوم بي نتكلم بي نجل</t>
  </si>
  <si>
    <t>my mom is making a cake for my dad.</t>
  </si>
  <si>
    <t>you talk to me son</t>
  </si>
  <si>
    <t>common_voice_ar_19653471.mp3</t>
  </si>
  <si>
    <t>لا أستطيع أن أجد أي خطأ في نظريته</t>
  </si>
  <si>
    <t>نأفضلت عوى أجد أي خطئ في نظريةه</t>
  </si>
  <si>
    <t>i can't find any fault with his theory.</t>
  </si>
  <si>
    <t>i would rather not find any error in his theory.</t>
  </si>
  <si>
    <t>common_voice_ar_19721750.mp3</t>
  </si>
  <si>
    <t>هل ستسافر إلى أمريكا الشهر القادم ؟</t>
  </si>
  <si>
    <t>هل ستسافر إلى أمريكا الشهر القادم؟</t>
  </si>
  <si>
    <t>are you traveling to america next month?</t>
  </si>
  <si>
    <t>common_voice_ar_19745679.mp3</t>
  </si>
  <si>
    <t>انها تبكي</t>
  </si>
  <si>
    <t>إنه تبكي</t>
  </si>
  <si>
    <t>she is crying</t>
  </si>
  <si>
    <t>common_voice_ar_19947205.mp3</t>
  </si>
  <si>
    <t>إنك تشرب الكثير من القهوة</t>
  </si>
  <si>
    <t>نكتش ربك سيرى من القفة</t>
  </si>
  <si>
    <t>you drink too much coffee</t>
  </si>
  <si>
    <t>discover your lord, he will see from the basket</t>
  </si>
  <si>
    <t>common_voice_ar_19204574.mp3</t>
  </si>
  <si>
    <t>كم الساعة ؟</t>
  </si>
  <si>
    <t>تميسة</t>
  </si>
  <si>
    <t>what's the time ?</t>
  </si>
  <si>
    <t>tamisa</t>
  </si>
  <si>
    <t>common_voice_ar_19579952.mp3</t>
  </si>
  <si>
    <t>إن التحدث بالإنجليزية أمر ممتع</t>
  </si>
  <si>
    <t>ان التحدث بالإنجليزية امرون الممتاء</t>
  </si>
  <si>
    <t>speaking english is fun.</t>
  </si>
  <si>
    <t>speaking english is a pleasure.</t>
  </si>
  <si>
    <t>common_voice_ar_19706670.mp3</t>
  </si>
  <si>
    <t>درجتك في الإمتحان ممتازة</t>
  </si>
  <si>
    <t>درجة كافي متحاني من تزة</t>
  </si>
  <si>
    <t>your exam score is excellent.</t>
  </si>
  <si>
    <t>my exam grade is enough from taza</t>
  </si>
  <si>
    <t>common_voice_ar_19664756.mp3</t>
  </si>
  <si>
    <t>سمعت اليوم شيئاً جديداً</t>
  </si>
  <si>
    <t>سمع تليوم شي and jet Eden</t>
  </si>
  <si>
    <t>i heard something new today</t>
  </si>
  <si>
    <t>hear tilliom shi and jet eden</t>
  </si>
  <si>
    <t>common_voice_ar_19778911.mp3</t>
  </si>
  <si>
    <t>توم صديقي</t>
  </si>
  <si>
    <t>توم سبيحتي</t>
  </si>
  <si>
    <t>tom is my friend</t>
  </si>
  <si>
    <t>tom spiti</t>
  </si>
  <si>
    <t>common_voice_ar_19219126.mp3</t>
  </si>
  <si>
    <t>ذهبت إلى بيتي</t>
  </si>
  <si>
    <t>وهابتو إلى بيتي</t>
  </si>
  <si>
    <t>i went home</t>
  </si>
  <si>
    <t>they came to my house</t>
  </si>
  <si>
    <t>common_voice_ar_19220070.mp3</t>
  </si>
  <si>
    <t>بيتي بعيد عن هنا</t>
  </si>
  <si>
    <t>بيتبعيد مفمونة</t>
  </si>
  <si>
    <t>my house is far from here</t>
  </si>
  <si>
    <t>far away</t>
  </si>
  <si>
    <t>common_voice_ar_19837743.mp3</t>
  </si>
  <si>
    <t>الرجل الطويل خرج من البيت</t>
  </si>
  <si>
    <t>الرجل طويل خارجة من البيت</t>
  </si>
  <si>
    <t>the tall man left the house</t>
  </si>
  <si>
    <t>tall man out of the house</t>
  </si>
  <si>
    <t>common_voice_ar_19665822.mp3</t>
  </si>
  <si>
    <t>لا تتدخل</t>
  </si>
  <si>
    <t>do not interfere</t>
  </si>
  <si>
    <t>common_voice_ar_19730011.mp3</t>
  </si>
  <si>
    <t>لماذا تتجاهل ما أقوله ؟</t>
  </si>
  <si>
    <t>لما يدتت جهل الماء أخوله</t>
  </si>
  <si>
    <t>why do you ignore what i say?</t>
  </si>
  <si>
    <t>when the water became ignorant, i let it flow</t>
  </si>
  <si>
    <t>common_voice_ar_19664391.mp3</t>
  </si>
  <si>
    <t>إنني أستمع إلى المذياع</t>
  </si>
  <si>
    <t>إنني استمع إلى المدى يا</t>
  </si>
  <si>
    <t>i am listening to the radio</t>
  </si>
  <si>
    <t>i listen to the range</t>
  </si>
  <si>
    <t>common_voice_ar_19664604.mp3</t>
  </si>
  <si>
    <t>أرى أسداً</t>
  </si>
  <si>
    <t>الى السدن</t>
  </si>
  <si>
    <t>i see a lion</t>
  </si>
  <si>
    <t>to the dam</t>
  </si>
  <si>
    <t>common_voice_ar_19214249.mp3</t>
  </si>
  <si>
    <t xml:space="preserve">أنا متعب أعتقد أنني سأخلد إلى السرير </t>
  </si>
  <si>
    <t>ونجمع من المنطقة</t>
  </si>
  <si>
    <t>i'm tired i think i'll go to bed</t>
  </si>
  <si>
    <t>we collect from the region</t>
  </si>
  <si>
    <t>common_voice_ar_19214898.mp3</t>
  </si>
  <si>
    <t>الكرز أحمر</t>
  </si>
  <si>
    <t>مالكورز</t>
  </si>
  <si>
    <t>cherries are red</t>
  </si>
  <si>
    <t>malcors</t>
  </si>
  <si>
    <t>common_voice_ar_19226926.mp3</t>
  </si>
  <si>
    <t>أردت الذهاب إلى هناك</t>
  </si>
  <si>
    <t>أطلب زهب إلى رناق</t>
  </si>
  <si>
    <t>i wanted to go there</t>
  </si>
  <si>
    <t>i ask for gold to ranaq</t>
  </si>
  <si>
    <t>common_voice_ar_19227038.mp3</t>
  </si>
  <si>
    <t>أستحم كل يوم تقريباً</t>
  </si>
  <si>
    <t>نتوز قول لها يوم انشى قد يبن</t>
  </si>
  <si>
    <t>i shower almost every day.</t>
  </si>
  <si>
    <t>i told her that one day she might die</t>
  </si>
  <si>
    <t>common_voice_ar_19629431.mp3</t>
  </si>
  <si>
    <t>ليس عليك الذهاب</t>
  </si>
  <si>
    <t>لساريكة أب</t>
  </si>
  <si>
    <t>you don't have to go</t>
  </si>
  <si>
    <t>for sarika ab</t>
  </si>
  <si>
    <t>common_voice_ar_19629531.mp3</t>
  </si>
  <si>
    <t>حزنها العميق لا يسعه الكلمات</t>
  </si>
  <si>
    <t>هزنو الاميس لا يساول كريمات</t>
  </si>
  <si>
    <t>her deep sadness is beyond words.</t>
  </si>
  <si>
    <t>shazeno al-amis does not ask for creams</t>
  </si>
  <si>
    <t>common_voice_ar_19247899.mp3</t>
  </si>
  <si>
    <t>الطفل لا يمشي بعد</t>
  </si>
  <si>
    <t>أفضلها يمشيبا</t>
  </si>
  <si>
    <t>the child is not walking yet</t>
  </si>
  <si>
    <t>the best of them is yamsheba</t>
  </si>
  <si>
    <t>common_voice_ar_19247901.mp3</t>
  </si>
  <si>
    <t>أيمكنني أن أطرح بعض الأسئلة ؟</t>
  </si>
  <si>
    <t>أي بكين لنطرح بعضنا سينا</t>
  </si>
  <si>
    <t>can i ask some questions?</t>
  </si>
  <si>
    <t>any beijing let's put some sina</t>
  </si>
  <si>
    <t>common_voice_ar_19148677.mp3</t>
  </si>
  <si>
    <t>ألا تشعر بالبرد ؟</t>
  </si>
  <si>
    <t>ورد شعر</t>
  </si>
  <si>
    <t>aren't you cold?</t>
  </si>
  <si>
    <t>rose hair</t>
  </si>
  <si>
    <t>common_voice_ar_19148679.mp3</t>
  </si>
  <si>
    <t>اشتريت ساعة</t>
  </si>
  <si>
    <t>أشتركوا سارة</t>
  </si>
  <si>
    <t>i bought a watch</t>
  </si>
  <si>
    <t>subscribe sarah</t>
  </si>
  <si>
    <t>common_voice_ar_19205348.mp3</t>
  </si>
  <si>
    <t>ساعدني في الطبخ</t>
  </si>
  <si>
    <t>help me cook</t>
  </si>
  <si>
    <t>common_voice_ar_19206273.mp3</t>
  </si>
  <si>
    <t>وصلت البارحة</t>
  </si>
  <si>
    <t>وصلت البيار حق</t>
  </si>
  <si>
    <t>i arrived yesterday</t>
  </si>
  <si>
    <t>i arrived at the right well</t>
  </si>
  <si>
    <t>common_voice_ar_19206277.mp3</t>
  </si>
  <si>
    <t>هاتان أُختان</t>
  </si>
  <si>
    <t>هل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ترى نيدوخ ت</t>
  </si>
  <si>
    <t>these are two sisters</t>
  </si>
  <si>
    <t>do you see nidoch? do you see nidoch? do you see nidoch? do you see nidoch? do you see nidoch? do you see nidoch? do you see nidoch? do you see nidoch? do you see nidoch? do you see nidoch? do you see nidoch? do you see nidoch? do you see nidoch? do you see nidoch? do you see nidoch? do you see nidoch? needukh see needukh see needukh t</t>
  </si>
  <si>
    <t>common_voice_ar_19395293.mp3</t>
  </si>
  <si>
    <t>انه حاليا في رحلة عمل في ناجويا</t>
  </si>
  <si>
    <t>إنه حالياً وفرح لتجامل في نحشويا</t>
  </si>
  <si>
    <t>he is currently on a business trip in nagoya.</t>
  </si>
  <si>
    <t>it is currently and joy to compliment in nahshoya</t>
  </si>
  <si>
    <t>common_voice_ar_19395294.mp3</t>
  </si>
  <si>
    <t>حتى الأطفال يمكنهم فهم ذلك</t>
  </si>
  <si>
    <t>حتى الأتفال يمكنهم فهم وضلك</t>
  </si>
  <si>
    <t>even children can understand this.</t>
  </si>
  <si>
    <t>even children can understand your error.</t>
  </si>
  <si>
    <t>common_voice_ar_19395295.mp3</t>
  </si>
  <si>
    <t>ما قلته ليس له أي معنى</t>
  </si>
  <si>
    <t>ما قلته ليس له ايه مالة</t>
  </si>
  <si>
    <t>what i said makes no sense.</t>
  </si>
  <si>
    <t>what i said has no meaning</t>
  </si>
  <si>
    <t>common_voice_ar_19382767.mp3</t>
  </si>
  <si>
    <t>عمّا تبحث ؟</t>
  </si>
  <si>
    <t>أموته بحس</t>
  </si>
  <si>
    <t>what are you looking for?</t>
  </si>
  <si>
    <t>i kill him with feelings</t>
  </si>
  <si>
    <t>common_voice_ar_19382768.mp3</t>
  </si>
  <si>
    <t>الأمل ليس استراتيجية</t>
  </si>
  <si>
    <t>الأمال ليس أستراتيشية</t>
  </si>
  <si>
    <t>hope is not a strategy</t>
  </si>
  <si>
    <t>hopes are not a strategy</t>
  </si>
  <si>
    <t>common_voice_ar_19382770.mp3</t>
  </si>
  <si>
    <t>إنه يعمل في المصرف</t>
  </si>
  <si>
    <t>إنه يعمل في المصرق</t>
  </si>
  <si>
    <t>he works at the bank.</t>
  </si>
  <si>
    <t>he works in egypt.</t>
  </si>
  <si>
    <t>common_voice_ar_19367226.mp3</t>
  </si>
  <si>
    <t>لا ، لن تحتاج</t>
  </si>
  <si>
    <t>لا لا تحتاج</t>
  </si>
  <si>
    <t>no, you won't need to.</t>
  </si>
  <si>
    <t>no, you don't need to</t>
  </si>
  <si>
    <t>common_voice_ar_19367228.mp3</t>
  </si>
  <si>
    <t>زادت الفرقة الموسيقية عدد الحفلات في جولتها</t>
  </si>
  <si>
    <t>زادة الفرقة المسيقية عدد الحفلات في جولته</t>
  </si>
  <si>
    <t>the band has increased the number of concerts on its tour.</t>
  </si>
  <si>
    <t>the band increased the number of concerts on its tour.</t>
  </si>
  <si>
    <t>common_voice_ar_19367230.mp3</t>
  </si>
  <si>
    <t>إنه يريدك أن تبقى هنا</t>
  </si>
  <si>
    <t>نحو يريد أن تبقى هنا</t>
  </si>
  <si>
    <t>he wants you to stay here.</t>
  </si>
  <si>
    <t>towards wants to stay here</t>
  </si>
  <si>
    <t>common_voice_ar_19314631.mp3</t>
  </si>
  <si>
    <t>كنت أمزح فقط</t>
  </si>
  <si>
    <t>كنت أمساح فقلت</t>
  </si>
  <si>
    <t>i was just kidding</t>
  </si>
  <si>
    <t>i was wiping and then i said</t>
  </si>
  <si>
    <t>common_voice_ar_19314632.mp3</t>
  </si>
  <si>
    <t>كل ما يحصل ، يحصل لسبب</t>
  </si>
  <si>
    <t>كلما يحسل يحسل لسربين</t>
  </si>
  <si>
    <t>everything that happens, happens for a reason.</t>
  </si>
  <si>
    <t>every time he counts, he counts for two serpents</t>
  </si>
  <si>
    <t>common_voice_ar_19314633.mp3</t>
  </si>
  <si>
    <t>كيف حال الطقس ؟</t>
  </si>
  <si>
    <t>كيف حالوا التقسي</t>
  </si>
  <si>
    <t>how is the weather?</t>
  </si>
  <si>
    <t>how are they doing?</t>
  </si>
  <si>
    <t>common_voice_ar_19375155.mp3</t>
  </si>
  <si>
    <t>بعض أصدقائي يمكنهم تحدث الإنجليزية جيداً</t>
  </si>
  <si>
    <t>بعد أصدقائي يمكنهم تحدت الإنجليزية جيدا</t>
  </si>
  <si>
    <t>some of my friends can speak english well.</t>
  </si>
  <si>
    <t>after my friends can speak english well</t>
  </si>
  <si>
    <t>common_voice_ar_19375157.mp3</t>
  </si>
  <si>
    <t>خذني معك</t>
  </si>
  <si>
    <t>بضني مك</t>
  </si>
  <si>
    <t>take me with you</t>
  </si>
  <si>
    <t>i hug you</t>
  </si>
  <si>
    <t>common_voice_ar_19375159.mp3</t>
  </si>
  <si>
    <t>القرار النهائي بيد الطلبة</t>
  </si>
  <si>
    <t>القلار لنهيه بيادت طلبة</t>
  </si>
  <si>
    <t>the final decision is up to the students.</t>
  </si>
  <si>
    <t>the qalar is finished with the students’ application.</t>
  </si>
  <si>
    <t>common_voice_ar_19219147.mp3</t>
  </si>
  <si>
    <t>في البداية واجه صعوبة في التأقلم مع بيته الجديد</t>
  </si>
  <si>
    <t>في البداية وجه صغابة في الطقل مع بيتي جليل</t>
  </si>
  <si>
    <t>at first he had difficulty adjusting to his new home.</t>
  </si>
  <si>
    <t>at first, he faced a small child with my house, jalil.</t>
  </si>
  <si>
    <t>common_voice_ar_19219148.mp3</t>
  </si>
  <si>
    <t>بلغها أن تعاود الإتصال بي من فضلك</t>
  </si>
  <si>
    <t>ونقوم بإمكانك أن تكون مفضل</t>
  </si>
  <si>
    <t>tell her to call me back please.</t>
  </si>
  <si>
    <t>we can make you a favorite.</t>
  </si>
  <si>
    <t>common_voice_ar_19219151.mp3</t>
  </si>
  <si>
    <t>بيتك أكبر من بيتي ثلاث مرات</t>
  </si>
  <si>
    <t>بيطوك أقبار من بي جي تنه تمارو</t>
  </si>
  <si>
    <t>your house is three times bigger than mine</t>
  </si>
  <si>
    <t>bitok graves from pj tinh tamaro</t>
  </si>
  <si>
    <t>common_voice_ar_19219153.mp3</t>
  </si>
  <si>
    <t>كان ذاك أرنوبًا شريرًا</t>
  </si>
  <si>
    <t>كنا نتكى عرنوباً شريراً</t>
  </si>
  <si>
    <t>that was a wicked rabbit.</t>
  </si>
  <si>
    <t>we were leaning on an evil arrogant</t>
  </si>
  <si>
    <t>common_voice_ar_19348894.mp3</t>
  </si>
  <si>
    <t>لا أحتاج إلى مساعدتك</t>
  </si>
  <si>
    <t>لا احتاج إلى مساعدتك</t>
  </si>
  <si>
    <t>i don't need your help</t>
  </si>
  <si>
    <t>common_voice_ar_19348895.mp3</t>
  </si>
  <si>
    <t>كان عطشاناً جداً فطلب القليل من الماء</t>
  </si>
  <si>
    <t>كان عطشان انجد ان فتلوق القليل من المقل</t>
  </si>
  <si>
    <t>he was very thirsty so he asked for some water.</t>
  </si>
  <si>
    <t>he was very thirsty and wanted to eat some fried food.</t>
  </si>
  <si>
    <t>common_voice_ar_19348896.mp3</t>
  </si>
  <si>
    <t>تعال و اسبح معي</t>
  </si>
  <si>
    <t>تعالى وسبح مان</t>
  </si>
  <si>
    <t>come and swim with me</t>
  </si>
  <si>
    <t>come and glorify god</t>
  </si>
  <si>
    <t>common_voice_ar_19348897.mp3</t>
  </si>
  <si>
    <t>كان هناك حوالي عشرين دولاراً</t>
  </si>
  <si>
    <t>كان هناك حوالة عشرين دولاراً</t>
  </si>
  <si>
    <t>there were about twenty dollars.</t>
  </si>
  <si>
    <t>there was a twenty dollar transfer.</t>
  </si>
  <si>
    <t>common_voice_ar_19204373.mp3</t>
  </si>
  <si>
    <t>بالكاد أستطيع سماعك</t>
  </si>
  <si>
    <t>بيكادي أستطيعوا ساماق</t>
  </si>
  <si>
    <t>i can hardly hear you</t>
  </si>
  <si>
    <t>i can tell you samaq</t>
  </si>
  <si>
    <t>common_voice_ar_19204374.mp3</t>
  </si>
  <si>
    <t>كان أي شيء غير عادي أو غير طبيعي كافياً لإرسال زميل إلى مولوكاي</t>
  </si>
  <si>
    <t>كنه هيو شيه ايه ريه الوى دي يوم روية الوطبيع كيف يلسل زيين لاملو قائل</t>
  </si>
  <si>
    <t>anything unusual or out of the ordinary was enough to send a fellow to molokai.</t>
  </si>
  <si>
    <t>it's like this, what kind of person is this? how can he look naturally? he's so handsome, lamlou.</t>
  </si>
  <si>
    <t>common_voice_ar_19204375.mp3</t>
  </si>
  <si>
    <t>يتحدث مايك اليابانية جيداً</t>
  </si>
  <si>
    <t>يتحدث معك اليابارين جداً</t>
  </si>
  <si>
    <t>mike speaks japanese well.</t>
  </si>
  <si>
    <t>the yabarin talk to you very much</t>
  </si>
  <si>
    <t>common_voice_ar_19204376.mp3</t>
  </si>
  <si>
    <t>اشترت البيض بالدزينة</t>
  </si>
  <si>
    <t>استرات الباية لبدزينة</t>
  </si>
  <si>
    <t>she bought eggs by the dozen.</t>
  </si>
  <si>
    <t>baya's esters for a dozen</t>
  </si>
  <si>
    <t>common_voice_ar_19204175.mp3</t>
  </si>
  <si>
    <t>غطاه الوحل من رأسه إلى أخمص قدميه</t>
  </si>
  <si>
    <t>الطاة الوحل من مقصة هي إلى أخمس قدمي</t>
  </si>
  <si>
    <t>he was covered in mud from head to toe.</t>
  </si>
  <si>
    <t>the mud from the scissors is to the fifths of my feet</t>
  </si>
  <si>
    <t>common_voice_ar_19204176.mp3</t>
  </si>
  <si>
    <t>التحدث بالإنجليزية ليس أمراً سهلاً</t>
  </si>
  <si>
    <t>التحندث بالإنجليزية ليس أمرًا سهلة</t>
  </si>
  <si>
    <t>speaking english is not easy</t>
  </si>
  <si>
    <t>speaking english is not easy.</t>
  </si>
  <si>
    <t>common_voice_ar_19204177.mp3</t>
  </si>
  <si>
    <t>بعض أصدقائي يمكنون تحدث الانجليزية جيداً</t>
  </si>
  <si>
    <t>common_voice_ar_19204178.mp3</t>
  </si>
  <si>
    <t>هذه الكتب لي</t>
  </si>
  <si>
    <t>هل ترى المتحدة؟</t>
  </si>
  <si>
    <t>these books are mine.</t>
  </si>
  <si>
    <t>do you see the united?</t>
  </si>
  <si>
    <t>common_voice_ar_19380206.mp3</t>
  </si>
  <si>
    <t>ضعها في أي مكان تشاء</t>
  </si>
  <si>
    <t>داها في إيمة جانتشة</t>
  </si>
  <si>
    <t>put it anywhere you want</t>
  </si>
  <si>
    <t>he went to the city of jantshe</t>
  </si>
  <si>
    <t>common_voice_ar_19380208.mp3</t>
  </si>
  <si>
    <t>دعني أشرح سبب وصولي متأخراً</t>
  </si>
  <si>
    <t>داني أشراح سبب سولي متأخيراً</t>
  </si>
  <si>
    <t>let me explain why i arrived late.</t>
  </si>
  <si>
    <t>danny ashraah why sully is late</t>
  </si>
  <si>
    <t>common_voice_ar_19380209.mp3</t>
  </si>
  <si>
    <t>في وقت واحد سيتم إنشاء عشرات من دول الكومنولث التعاونية</t>
  </si>
  <si>
    <t>في وقت واحد سيتم إنشاء عشارات من دول الكملول ستعاونية</t>
  </si>
  <si>
    <t>at one time dozens of cooperative commonwealth countries will be created.</t>
  </si>
  <si>
    <t>at one time, dozens of cooperative kamloul states will be established.</t>
  </si>
  <si>
    <t>common_voice_ar_19380210.mp3</t>
  </si>
  <si>
    <t>حملت ثلاثة كتب</t>
  </si>
  <si>
    <t>همالك سلسة قطب</t>
  </si>
  <si>
    <t>i carried three books</t>
  </si>
  <si>
    <t>your neglect is a chain of poles</t>
  </si>
  <si>
    <t>common_voice_ar_19322536.mp3</t>
  </si>
  <si>
    <t>أمي تعزف البيانو بمهارة</t>
  </si>
  <si>
    <t>أمي تازف الفيانو بمهار</t>
  </si>
  <si>
    <t>my mother plays the piano skillfully.</t>
  </si>
  <si>
    <t>my mother plays the piano skillfully</t>
  </si>
  <si>
    <t>common_voice_ar_19322537.mp3</t>
  </si>
  <si>
    <t>تعتمد اليابان على نفط البلدان العربية</t>
  </si>
  <si>
    <t>تعتمد اليابان على نفت البلدان العربية</t>
  </si>
  <si>
    <t>japan depends on arab oil</t>
  </si>
  <si>
    <t>japan relies on the arab countries' denial</t>
  </si>
  <si>
    <t>common_voice_ar_19322539.mp3</t>
  </si>
  <si>
    <t>وفقا للشاعر ، أبريل هو أقسى شهر</t>
  </si>
  <si>
    <t>وفقن للشاعر إبريل هو أقصى شهر</t>
  </si>
  <si>
    <t>according to the poet, april is the cruelest month.</t>
  </si>
  <si>
    <t>according to the poet, april is the hottest month.</t>
  </si>
  <si>
    <t>common_voice_ar_19322540.mp3</t>
  </si>
  <si>
    <t>ينقص شوكة</t>
  </si>
  <si>
    <t>ينبس شوقة</t>
  </si>
  <si>
    <t>missing a fork</t>
  </si>
  <si>
    <t>yanbas shawqa</t>
  </si>
  <si>
    <t>common_voice_ar_19103182.mp3</t>
  </si>
  <si>
    <t>لا يمكنك السباحة هنا</t>
  </si>
  <si>
    <t>you can't swim here.</t>
  </si>
  <si>
    <t>common_voice_ar_19103183.mp3</t>
  </si>
  <si>
    <t>يا لها من ذكرى</t>
  </si>
  <si>
    <t>لحامل ويكرا</t>
  </si>
  <si>
    <t>what a memory</t>
  </si>
  <si>
    <t>wicra holder</t>
  </si>
  <si>
    <t>common_voice_ar_19103184.mp3</t>
  </si>
  <si>
    <t>هذا سؤال جيد</t>
  </si>
  <si>
    <t>ها دا سواء نمجا يد</t>
  </si>
  <si>
    <t>that's a good question.</t>
  </si>
  <si>
    <t>this is both a hand model</t>
  </si>
  <si>
    <t>common_voice_ar_19103186.mp3</t>
  </si>
  <si>
    <t>اتصل ابنها من نيويورك</t>
  </si>
  <si>
    <t>اتصلت ايب نوحام في يويارك</t>
  </si>
  <si>
    <t>her son called from new york.</t>
  </si>
  <si>
    <t>i called noham in uyark</t>
  </si>
  <si>
    <t>common_voice_ar_19212440.mp3</t>
  </si>
  <si>
    <t>يعمل أبي في مصنع</t>
  </si>
  <si>
    <t>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 نحن</t>
  </si>
  <si>
    <t>my father works in a factory.</t>
  </si>
  <si>
    <t>we are we are we are we are we are we are</t>
  </si>
  <si>
    <t>common_voice_ar_19212442.mp3</t>
  </si>
  <si>
    <t>ربما لا</t>
  </si>
  <si>
    <t>بروبا مالي</t>
  </si>
  <si>
    <t>maybe not</t>
  </si>
  <si>
    <t>propa mali</t>
  </si>
  <si>
    <t>common_voice_ar_19212443.mp3</t>
  </si>
  <si>
    <t>أنا أركض</t>
  </si>
  <si>
    <t>ورقف</t>
  </si>
  <si>
    <t>i am running</t>
  </si>
  <si>
    <t>and he danced</t>
  </si>
  <si>
    <t>common_voice_ar_19212444.mp3</t>
  </si>
  <si>
    <t>ملأت كيسها بالتفاح</t>
  </si>
  <si>
    <t>ملأتكي سابطة فه</t>
  </si>
  <si>
    <t>she filled her bag with apples.</t>
  </si>
  <si>
    <t>i filled you with joy</t>
  </si>
  <si>
    <t>common_voice_ar_19222349.mp3</t>
  </si>
  <si>
    <t>أهلاً ، هل تعمل هنا ؟</t>
  </si>
  <si>
    <t>أهلا، هل تعمل هنا؟</t>
  </si>
  <si>
    <t>hello, do you work here?</t>
  </si>
  <si>
    <t>common_voice_ar_19222357.mp3</t>
  </si>
  <si>
    <t>أعمل كل يوم ما عدا يوم الأحد</t>
  </si>
  <si>
    <t>أملك اليوم معدى اليوم الأحد</t>
  </si>
  <si>
    <t>i work every day except sunday</t>
  </si>
  <si>
    <t>i have a baby today, sunday</t>
  </si>
  <si>
    <t>common_voice_ar_19222360.mp3</t>
  </si>
  <si>
    <t>إتفقوا على انتخابه رئيساً</t>
  </si>
  <si>
    <t>they agreed to elect him president.</t>
  </si>
  <si>
    <t>common_voice_ar_19222361.mp3</t>
  </si>
  <si>
    <t>ضحك الجميع عليّ</t>
  </si>
  <si>
    <t>ضحيك الجميع رأي</t>
  </si>
  <si>
    <t>everyone laughed at me</t>
  </si>
  <si>
    <t>everyone laughed my opinion</t>
  </si>
  <si>
    <t>common_voice_ar_19285859.mp3</t>
  </si>
  <si>
    <t>من بحث وجد</t>
  </si>
  <si>
    <t>من بحثة وجد</t>
  </si>
  <si>
    <t>he who searches shall find</t>
  </si>
  <si>
    <t>he searched and found</t>
  </si>
  <si>
    <t>common_voice_ar_19285860.mp3</t>
  </si>
  <si>
    <t>لا تقلق</t>
  </si>
  <si>
    <t>لتقلق</t>
  </si>
  <si>
    <t>don't worry</t>
  </si>
  <si>
    <t>to worry</t>
  </si>
  <si>
    <t>common_voice_ar_19285861.mp3</t>
  </si>
  <si>
    <t>نجحنا كلنا في الإمتحان</t>
  </si>
  <si>
    <t>نجحنا كلنا في اليمتحان</t>
  </si>
  <si>
    <t>we all passed the exam.</t>
  </si>
  <si>
    <t>common_voice_ar_19285862.mp3</t>
  </si>
  <si>
    <t>هذا الكرسي يحتاج إلى الإصلاح</t>
  </si>
  <si>
    <t>هذا الكرسي يحتاج إلى الإسلاح</t>
  </si>
  <si>
    <t>this chair needs repair.</t>
  </si>
  <si>
    <t>this chair needs arming.</t>
  </si>
  <si>
    <t>common_voice_ar_19285863.mp3</t>
  </si>
  <si>
    <t>ما أسهل أن يكتسب المرء عادات سيئة</t>
  </si>
  <si>
    <t>نأسل أن يكتسيب المرواعادات نسيئة</t>
  </si>
  <si>
    <t>how easy it is for a person to acquire bad habits</t>
  </si>
  <si>
    <t>we ask that the marwas gain the rewards on credit.</t>
  </si>
  <si>
    <t>common_voice_ar_19260121.mp3</t>
  </si>
  <si>
    <t>عليك أن تبقي غرفتك نظيفة</t>
  </si>
  <si>
    <t>عليك أنتوبية ورشتك نبي فتن</t>
  </si>
  <si>
    <t>you have to keep your room clean.</t>
  </si>
  <si>
    <t>you have to repent and your workshop needs some trouble</t>
  </si>
  <si>
    <t>common_voice_ar_19260122.mp3</t>
  </si>
  <si>
    <t>لا أذكر لحن تلك الأغنية</t>
  </si>
  <si>
    <t>لا أفكروا لحنات القلق الأغنيا</t>
  </si>
  <si>
    <t>i don't remember the tune of that song.</t>
  </si>
  <si>
    <t>don't think of the tunes of rich anxiety</t>
  </si>
  <si>
    <t>common_voice_ar_19260123.mp3</t>
  </si>
  <si>
    <t>تقوم الجريدة بتزويدنا بالأخبار</t>
  </si>
  <si>
    <t>تقوموا الجريدة وبتزويدنا بالأخبار</t>
  </si>
  <si>
    <t>the newspaper provides us with news.</t>
  </si>
  <si>
    <t>you are the newspaper and you provide us with the news</t>
  </si>
  <si>
    <t>common_voice_ar_19260124.mp3</t>
  </si>
  <si>
    <t>لن يكون بوسعه القدوم بسبب مرضه</t>
  </si>
  <si>
    <t>لن يكون بيو ساعر قدوم بيساب بي مرابي</t>
  </si>
  <si>
    <t>he will not be able to come due to his illness.</t>
  </si>
  <si>
    <t>bio saar will not be coming to bisab bi marabi</t>
  </si>
  <si>
    <t>common_voice_ar_19260125.mp3</t>
  </si>
  <si>
    <t>توقّف الحاسوب عن العمل بعد تحديث آلي للنظام</t>
  </si>
  <si>
    <t>توقف الحسوب عن العملي بعد تحتفن ألياً للنظام</t>
  </si>
  <si>
    <t>computer stopped working after automatic system update</t>
  </si>
  <si>
    <t>the account stopped working after the system automatically closed.</t>
  </si>
  <si>
    <t>common_voice_ar_19370414.mp3</t>
  </si>
  <si>
    <t xml:space="preserve"> لم أقصد شيئاً</t>
  </si>
  <si>
    <t>لما أقصد شي</t>
  </si>
  <si>
    <t>i didn't mean anything</t>
  </si>
  <si>
    <t>when i mean something</t>
  </si>
  <si>
    <t>common_voice_ar_19370415.mp3</t>
  </si>
  <si>
    <t>اتركني و شأني</t>
  </si>
  <si>
    <t>تركني وشعني</t>
  </si>
  <si>
    <t>leave me alone</t>
  </si>
  <si>
    <t>he left me and left me</t>
  </si>
  <si>
    <t>common_voice_ar_19370416.mp3</t>
  </si>
  <si>
    <t>الجميع ينتظرونك</t>
  </si>
  <si>
    <t>الجميع ينتبيرونك</t>
  </si>
  <si>
    <t>everyone is waiting for you</t>
  </si>
  <si>
    <t>everyone is looking up to you</t>
  </si>
  <si>
    <t>common_voice_ar_19370417.mp3</t>
  </si>
  <si>
    <t>أنا لا أحاول سلب حقوقك</t>
  </si>
  <si>
    <t>i'm not trying to take away your rights.</t>
  </si>
  <si>
    <t>common_voice_ar_19370418.mp3</t>
  </si>
  <si>
    <t>عزفت لحناً على البيانو</t>
  </si>
  <si>
    <t>أعزفتوا لحن على يانو</t>
  </si>
  <si>
    <t>i played a tune on the piano</t>
  </si>
  <si>
    <t>you played a tune on yano</t>
  </si>
  <si>
    <t>common_voice_ar_19205717.mp3</t>
  </si>
  <si>
    <t>من فضلك تعال</t>
  </si>
  <si>
    <t>من فضلكة تعال</t>
  </si>
  <si>
    <t>please come</t>
  </si>
  <si>
    <t>ألديك أخوانا؟</t>
  </si>
  <si>
    <t>do you have brothers?</t>
  </si>
  <si>
    <t>أين المشكل؟</t>
  </si>
  <si>
    <t>تقوم بإعذاب كاكة من أجلابي</t>
  </si>
  <si>
    <t>you torture kaka for my sake</t>
  </si>
  <si>
    <t>إن أجبك</t>
  </si>
  <si>
    <t>if he answers you</t>
  </si>
  <si>
    <t>كم صعب</t>
  </si>
  <si>
    <t>how hard</t>
  </si>
  <si>
    <t>درجاتك في الامتحان ممتازة</t>
  </si>
  <si>
    <t>your exam grades are excellent.</t>
  </si>
  <si>
    <t>طوم صديقي</t>
  </si>
  <si>
    <t>لماذا تتجاهل ما أقوله؟</t>
  </si>
  <si>
    <t>إنني أستمع إلى المذائع</t>
  </si>
  <si>
    <t>i listen to the radio</t>
  </si>
  <si>
    <t>على السادة</t>
  </si>
  <si>
    <t>to the gentlemen</t>
  </si>
  <si>
    <t>انا متعب اتخذ الاميز اخذ الاسرع</t>
  </si>
  <si>
    <t>i'm tired, i take the best, i take the fastest</t>
  </si>
  <si>
    <t>دوش كل يوم انت قريباً</t>
  </si>
  <si>
    <t>shower every day you are close</t>
  </si>
  <si>
    <t>ليست عريقة تهب</t>
  </si>
  <si>
    <t>not an old wind</t>
  </si>
  <si>
    <t>خزن العميق لا يسعه الكلمات</t>
  </si>
  <si>
    <t>the depth of the treasure cannot be contained in words.</t>
  </si>
  <si>
    <t>أبتدل على يمشي بقى</t>
  </si>
  <si>
    <t>i will change my mind</t>
  </si>
  <si>
    <t>أليس يمكنني أن أطرح بعض الأسئلة؟</t>
  </si>
  <si>
    <t>can't i ask some questions?</t>
  </si>
  <si>
    <t>على تشعر بالبرد</t>
  </si>
  <si>
    <t>you feel cold</t>
  </si>
  <si>
    <t>اشتركوا في القناة</t>
  </si>
  <si>
    <t>subscribe to the channel</t>
  </si>
  <si>
    <t>هاتاني أختاني</t>
  </si>
  <si>
    <t>my sisters, give me this</t>
  </si>
  <si>
    <t>إنه حاليا في رحلة عمل في ناجويا</t>
  </si>
  <si>
    <t>عمّة تبحث</t>
  </si>
  <si>
    <t>aunt looking</t>
  </si>
  <si>
    <t>لا لن تحتاج</t>
  </si>
  <si>
    <t>no you won't need to</t>
  </si>
  <si>
    <t>كل ما يحصل يحصل لسبب</t>
  </si>
  <si>
    <t>everything that happens happens for a reason.</t>
  </si>
  <si>
    <t>كيف حال التقسي؟</t>
  </si>
  <si>
    <t>how is the hardening?</t>
  </si>
  <si>
    <t>بعض أصدقائي ممكنهم تحدث الإنجليزية جيداً</t>
  </si>
  <si>
    <t>في البداية واجه سعوبة في التأقلم مع بيته الجديد</t>
  </si>
  <si>
    <t>كان ذاك أرنوبا شريرا</t>
  </si>
  <si>
    <t>كان عطشانا جدا فطلب القليل من الماء</t>
  </si>
  <si>
    <t>تعالى واسبح معي</t>
  </si>
  <si>
    <t>كان هناك حوالي 20 دولاراً</t>
  </si>
  <si>
    <t>there were about $20.</t>
  </si>
  <si>
    <t>كان أي شيء غير عادي وغير طبيعي كافيا لإرسال زمين إلى ملوك عين</t>
  </si>
  <si>
    <t>anything unusual and unnatural was enough to send a swarm to the ain kings.</t>
  </si>
  <si>
    <t>يتحدث مايك الياباني جيداً</t>
  </si>
  <si>
    <t>اشترت للبيضة بالزينة</t>
  </si>
  <si>
    <t>she bought the egg with decorations.</t>
  </si>
  <si>
    <t>رطاه الوحل من رأسه إلى أخمس قدمه</t>
  </si>
  <si>
    <t>هذه الكتبولي</t>
  </si>
  <si>
    <t>this is the book</t>
  </si>
  <si>
    <t>طاح في أي مكان تشاء</t>
  </si>
  <si>
    <t>fall anywhere you want</t>
  </si>
  <si>
    <t>داني أشرح سبب وصولي متأخراً</t>
  </si>
  <si>
    <t>danny explain why i'm late</t>
  </si>
  <si>
    <t>في وقت واحد سيتم إنشاء عشرات من دول الكومونورث التعاونية</t>
  </si>
  <si>
    <t>at one time, dozens of cooperative commonwealth states will be created.</t>
  </si>
  <si>
    <t>وفقا للشاعر إبريل هو أقصى شهر</t>
  </si>
  <si>
    <t>نعمل البيفي مصنع</t>
  </si>
  <si>
    <t>we work in the beef factory</t>
  </si>
  <si>
    <t>ربنا ل</t>
  </si>
  <si>
    <t>our lord</t>
  </si>
  <si>
    <t>ملعقت كيسة بالطفاح</t>
  </si>
  <si>
    <t>a spoonful of turmeric</t>
  </si>
  <si>
    <t>أهلاً، هل تعمل هنا؟</t>
  </si>
  <si>
    <t>أمل كل يوم ما عدا يوم الأحد</t>
  </si>
  <si>
    <t>hope every day except sunday</t>
  </si>
  <si>
    <t>اتفقوا على انتخابه رئيساً</t>
  </si>
  <si>
    <t>ضحك الجميع علي</t>
  </si>
  <si>
    <t>نجحنا كلنا في الامتحان</t>
  </si>
  <si>
    <t>لا أفكر لحنة تلك الأغنية</t>
  </si>
  <si>
    <t>i don't think of the tune of that song</t>
  </si>
  <si>
    <t>توقف الحاسوب عن العمل بعد تحديث آلي للنظام</t>
  </si>
  <si>
    <t>لم أقصد شيء</t>
  </si>
  <si>
    <t>اتركني وشأني</t>
  </si>
  <si>
    <t>أعزفت لحناً على البيانو</t>
  </si>
  <si>
    <t>WER_base</t>
  </si>
  <si>
    <t>WER_large-v3</t>
  </si>
  <si>
    <t>semantic_sim_base</t>
  </si>
  <si>
    <t>semantic_sim_large-v3</t>
  </si>
  <si>
    <t>WER_diff</t>
  </si>
  <si>
    <t>sim_diff</t>
  </si>
  <si>
    <t>Summary</t>
  </si>
  <si>
    <t>whisper-base</t>
  </si>
  <si>
    <t>whisper-large-v3</t>
  </si>
  <si>
    <t>Average Semantic Similarity</t>
  </si>
  <si>
    <t>Average WER (Word Error Rate)</t>
  </si>
  <si>
    <t>semanticly_correct_base</t>
  </si>
  <si>
    <t>semanticly_correct_large-v3</t>
  </si>
  <si>
    <t>Accurcay (# of predictions over 75% / very similar threshold)</t>
  </si>
  <si>
    <t>ألديك قلم</t>
  </si>
  <si>
    <t>أين المشكل</t>
  </si>
  <si>
    <t>إنك تتكلم ك أمك</t>
  </si>
  <si>
    <t>تاكوم هم بذتك هكة نا جبابي</t>
  </si>
  <si>
    <t>takum hum badhak na jababi</t>
  </si>
  <si>
    <t>لا أستطيع أن أجد أي خطئ في نظريته</t>
  </si>
  <si>
    <t>هل ستسافر إلى أمريكا الشهر القادم</t>
  </si>
  <si>
    <t>إنه أتبكي</t>
  </si>
  <si>
    <t>he is crying</t>
  </si>
  <si>
    <t>كم الساعة</t>
  </si>
  <si>
    <t>what's the time</t>
  </si>
  <si>
    <t>سمعت اليوم شيئا جديدا</t>
  </si>
  <si>
    <t>الرزل الطويل خرج من البيت</t>
  </si>
  <si>
    <t>لا تتدخر</t>
  </si>
  <si>
    <t>don't be stingy</t>
  </si>
  <si>
    <t>لماذا تتجاهل ما أقوله</t>
  </si>
  <si>
    <t>إنني استمع إلى المدايعة</t>
  </si>
  <si>
    <t>i am listening to the cacophony</t>
  </si>
  <si>
    <t>أنا متعب أعتقد أنني سأخلد إلى السرير</t>
  </si>
  <si>
    <t>أنا متعب أعتخدأ لسأخضل إلى السرير</t>
  </si>
  <si>
    <t>i'm tired i'm going to bed</t>
  </si>
  <si>
    <t>الكرز احمر</t>
  </si>
  <si>
    <t>red cherries</t>
  </si>
  <si>
    <t>ندوج كل يوم تقريبا</t>
  </si>
  <si>
    <t>we go almost every day</t>
  </si>
  <si>
    <t>خزن العميق لا يسعب الكلمات</t>
  </si>
  <si>
    <t>the deep storehouse is beyond words</t>
  </si>
  <si>
    <t>القفل لا يوم شي بعده</t>
  </si>
  <si>
    <t>lock up no day after it</t>
  </si>
  <si>
    <t>أيمكنني ل نطرح بعد الأسئنة</t>
  </si>
  <si>
    <t>can i ask some more questions?</t>
  </si>
  <si>
    <t>ألم شنبر</t>
  </si>
  <si>
    <t>shanbar pain</t>
  </si>
  <si>
    <t>أشترية سعة</t>
  </si>
  <si>
    <t>i buy capacity</t>
  </si>
  <si>
    <t>هتاني أختاني</t>
  </si>
  <si>
    <t>this is my sister</t>
  </si>
  <si>
    <t>إنهُ حالي في رحلة عمل في نعجويا</t>
  </si>
  <si>
    <t>i am currently on a business trip in najoua.</t>
  </si>
  <si>
    <t>ما قلته ليس له أي مارا</t>
  </si>
  <si>
    <t>what i said has no meaning.</t>
  </si>
  <si>
    <t>عما تبحس</t>
  </si>
  <si>
    <t>الأمل ليس استرتيجية</t>
  </si>
  <si>
    <t>لا لن تحتعته</t>
  </si>
  <si>
    <t>no, you won't.</t>
  </si>
  <si>
    <t>كلّ ما يحصل يحصل لسابن</t>
  </si>
  <si>
    <t>whatever happens happens to sabin.</t>
  </si>
  <si>
    <t>كيف حال الطقس</t>
  </si>
  <si>
    <t>بعض أصدقائي يمكنهم تحدث الإنجليزية جيدا</t>
  </si>
  <si>
    <t>في البداية وجه سعوة في التقل معبيته جديد</t>
  </si>
  <si>
    <t>at first, the face of sa'wa in the tradition is filled with new</t>
  </si>
  <si>
    <t>بل لذهى أن تعاود الإتصار بي من فضلك</t>
  </si>
  <si>
    <t>rather, it is my pleasure to win over me again, please.</t>
  </si>
  <si>
    <t>بيتك أكبر من بيتي ثلاث مراء</t>
  </si>
  <si>
    <t>كان ذاك أرنوبا شريراً</t>
  </si>
  <si>
    <t>تعال وأصبح معيض</t>
  </si>
  <si>
    <t>come and become a supporter</t>
  </si>
  <si>
    <t>كان هناك حوال عشرين دولارا</t>
  </si>
  <si>
    <t>بالكادي أستطيع سمعك</t>
  </si>
  <si>
    <t>i can barely hear you</t>
  </si>
  <si>
    <t>كان أي شيء غير عادي غوير طبيل كاثيًا لإرسال زمين  إلى ملوكايف</t>
  </si>
  <si>
    <t>anything unusual would have sent a troll to moluccas.</t>
  </si>
  <si>
    <t>يتحدث مايك اليابانين جيداً</t>
  </si>
  <si>
    <t>غطاه الوحل من رأسه إلى أخمص قدمه</t>
  </si>
  <si>
    <t>التحدث بالإنجليزية ليس أمراً سعلً</t>
  </si>
  <si>
    <t>speaking english is not a cough</t>
  </si>
  <si>
    <t>بعض أصدقائي يمكنما  تحدث الإنجليزية جيداً</t>
  </si>
  <si>
    <t>طعها في أي مكان تشاء</t>
  </si>
  <si>
    <t>eat it anywhere you want</t>
  </si>
  <si>
    <t>دعني أشرح سبب صولي متأخّراً</t>
  </si>
  <si>
    <t>let me explain why i'm late.</t>
  </si>
  <si>
    <t>في وقت واحد سيا تم إن شاء أشرات من دول الكمنورفي التعاونية</t>
  </si>
  <si>
    <t>at the same time, signals from the commonwealth of independent states will be issued.</t>
  </si>
  <si>
    <t>حملت ثلاثت كتب</t>
  </si>
  <si>
    <t>وفقاً للشاعر إبريل هو أقسى شهر</t>
  </si>
  <si>
    <t>يا لها من ذكرا</t>
  </si>
  <si>
    <t>اتصل ابنها من ييويورك</t>
  </si>
  <si>
    <t>يعم الأب في مصنح</t>
  </si>
  <si>
    <t>father works in a factory</t>
  </si>
  <si>
    <t>ربملأ</t>
  </si>
  <si>
    <t>maybe i will fill it</t>
  </si>
  <si>
    <t>أنا أرقت</t>
  </si>
  <si>
    <t>i have insomnia</t>
  </si>
  <si>
    <t>ملأت كيسها بالطفاح</t>
  </si>
  <si>
    <t>she filled her bag with scum.</t>
  </si>
  <si>
    <t>أهلاً هل تعمل هنا</t>
  </si>
  <si>
    <t>أعمل كل يوم ما عد يوم الأحد</t>
  </si>
  <si>
    <t>اتَّفَقُوا عَلَى انْتِخَى بِهِ رَئِيسًا</t>
  </si>
  <si>
    <t>they agreed to elect him as president.</t>
  </si>
  <si>
    <t>نجحنا كلّنا في الإمتحان</t>
  </si>
  <si>
    <t>لا أذكُرُ رحن تلك الأغْنِية</t>
  </si>
  <si>
    <t>i don't remember the spirit of that song</t>
  </si>
  <si>
    <t>لَنْ يَكُونَ بِوِسْعِ الْقُدُومُ بِسَبَبِ مَرَبِهِ</t>
  </si>
  <si>
    <t>he won't be able to come because of his trouble.</t>
  </si>
  <si>
    <t>توقف الحاسوب عن العمل بعد تحديفٍ آلي للنظام</t>
  </si>
  <si>
    <t>لم أقصد شيئاً</t>
  </si>
  <si>
    <t>لم أقسد شيء</t>
  </si>
  <si>
    <t>i didn't spoil anything</t>
  </si>
  <si>
    <t>عزفت لحنا على البيانو</t>
  </si>
  <si>
    <t>Trained on common voice dataset, kinda cheating...</t>
  </si>
  <si>
    <t>WER_wav2vec2_arabic</t>
  </si>
  <si>
    <t>semantic_sim_wav2vec2_arabic</t>
  </si>
  <si>
    <t>semanticly_correct_wav2vec2_arabic</t>
  </si>
  <si>
    <t>wav2vec2_arabic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</si>
</sst>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style="thin">
        <color indexed="64"/>
      </left>
      <right style="thin">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2" fillId="0" borderId="0" xfId="0" applyFont="1"/>
    <xf numFmtId="0" fontId="2" fillId="0" borderId="3" xfId="0" applyFont="1" applyBorder="1"/>
    <xf numFmtId="0" fontId="2" fillId="0" borderId="5" xfId="0" applyFont="1" applyBorder="1"/>
    <xf numFmtId="0" fontId="0" fillId="0" borderId="4" xfId="0" applyBorder="1"/>
    <xf numFmtId="0" fontId="0" fillId="0" borderId="6" xfId="0" applyBorder="1"/>
    <xf numFmtId="0" fontId="2" fillId="0" borderId="1" xfId="0" applyFont="1" applyBorder="1" applyAlignment="1">
      <alignment wrapText="1"/>
    </xf>
    <xf numFmtId="0" fontId="0" fillId="0" borderId="1" xfId="0" applyBorder="1"/>
    <xf numFmtId="0" fontId="2" fillId="0" borderId="1" xfId="0" applyFont="1" applyBorder="1"/>
    <xf numFmtId="0" fontId="2" fillId="0" borderId="2" xfId="0" applyFont="1" applyBorder="1"/>
    <xf numFmtId="2" fontId="0" fillId="0" borderId="1" xfId="0" applyNumberFormat="1" applyBorder="1"/>
    <xf numFmtId="2" fontId="2" fillId="0" borderId="1" xfId="0" applyNumberFormat="1" applyFont="1" applyBorder="1"/>
    <xf numFmtId="0" fontId="2" fillId="2" borderId="0" xfId="0" applyFont="1" applyFill="1"/>
    <xf numFmtId="0" fontId="2" fillId="3" borderId="3" xfId="0" applyFont="1" applyFill="1" applyBorder="1"/>
    <xf numFmtId="0" fontId="0" fillId="3" borderId="0" xfId="0" applyFill="1"/>
    <xf numFmtId="0" fontId="0" fillId="3" borderId="6" xfId="0" applyFill="1" applyBorder="1"/>
    <xf numFmtId="0" fontId="2" fillId="3" borderId="2"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workbookViewId="0">
      <selection activeCell="E2" sqref="E2"/>
    </sheetView>
  </sheetViews>
  <sheetFormatPr defaultRowHeight="14.4" x14ac:dyDescent="0.3"/>
  <cols>
    <col min="2" max="2" width="30.109375" customWidth="1"/>
    <col min="3" max="3" width="19" customWidth="1"/>
    <col min="4" max="4" width="19.33203125" customWidth="1"/>
    <col min="5" max="5" width="11" customWidth="1"/>
    <col min="6" max="6" width="27.33203125" customWidth="1"/>
    <col min="7" max="7" width="32.6640625" customWidth="1"/>
    <col min="8" max="8" width="18.44140625" customWidth="1"/>
  </cols>
  <sheetData>
    <row r="1" spans="1:8" x14ac:dyDescent="0.3">
      <c r="B1" s="1" t="s">
        <v>0</v>
      </c>
      <c r="C1" s="1" t="s">
        <v>1</v>
      </c>
      <c r="D1" s="1" t="s">
        <v>2</v>
      </c>
      <c r="E1" s="1" t="s">
        <v>3</v>
      </c>
      <c r="F1" s="1" t="s">
        <v>4</v>
      </c>
      <c r="G1" s="1" t="s">
        <v>5</v>
      </c>
      <c r="H1" s="1" t="s">
        <v>6</v>
      </c>
    </row>
    <row r="2" spans="1:8" x14ac:dyDescent="0.3">
      <c r="A2" s="1">
        <v>0</v>
      </c>
      <c r="B2" t="s">
        <v>7</v>
      </c>
      <c r="C2" t="s">
        <v>8</v>
      </c>
      <c r="D2" t="s">
        <v>9</v>
      </c>
      <c r="E2">
        <v>1</v>
      </c>
      <c r="F2" t="s">
        <v>10</v>
      </c>
      <c r="G2" t="s">
        <v>11</v>
      </c>
      <c r="H2">
        <v>0.1002430841326714</v>
      </c>
    </row>
    <row r="3" spans="1:8" x14ac:dyDescent="0.3">
      <c r="A3" s="1">
        <v>1</v>
      </c>
      <c r="B3" t="s">
        <v>12</v>
      </c>
      <c r="C3" t="s">
        <v>13</v>
      </c>
      <c r="D3" t="s">
        <v>14</v>
      </c>
      <c r="E3">
        <v>1</v>
      </c>
      <c r="F3" t="s">
        <v>15</v>
      </c>
      <c r="G3" t="s">
        <v>16</v>
      </c>
      <c r="H3">
        <v>0.58972597122192383</v>
      </c>
    </row>
    <row r="4" spans="1:8" x14ac:dyDescent="0.3">
      <c r="A4" s="1">
        <v>2</v>
      </c>
      <c r="B4" t="s">
        <v>17</v>
      </c>
      <c r="C4" t="s">
        <v>18</v>
      </c>
      <c r="D4" t="s">
        <v>19</v>
      </c>
      <c r="E4">
        <v>74</v>
      </c>
      <c r="F4" t="s">
        <v>20</v>
      </c>
      <c r="G4" t="s">
        <v>21</v>
      </c>
      <c r="H4">
        <v>0.21664923429489141</v>
      </c>
    </row>
    <row r="5" spans="1:8" x14ac:dyDescent="0.3">
      <c r="A5" s="1">
        <v>3</v>
      </c>
      <c r="B5" t="s">
        <v>22</v>
      </c>
      <c r="C5" t="s">
        <v>23</v>
      </c>
      <c r="D5" t="s">
        <v>24</v>
      </c>
      <c r="E5">
        <v>0.83333333333333337</v>
      </c>
      <c r="F5" t="s">
        <v>25</v>
      </c>
      <c r="G5" t="s">
        <v>26</v>
      </c>
      <c r="H5">
        <v>0.1188329309225082</v>
      </c>
    </row>
    <row r="6" spans="1:8" x14ac:dyDescent="0.3">
      <c r="A6" s="1">
        <v>4</v>
      </c>
      <c r="B6" t="s">
        <v>27</v>
      </c>
      <c r="C6" t="s">
        <v>28</v>
      </c>
      <c r="D6" t="s">
        <v>29</v>
      </c>
      <c r="E6">
        <v>0.625</v>
      </c>
      <c r="F6" t="s">
        <v>30</v>
      </c>
      <c r="G6" t="s">
        <v>31</v>
      </c>
      <c r="H6">
        <v>0.72776049375534058</v>
      </c>
    </row>
    <row r="7" spans="1:8" x14ac:dyDescent="0.3">
      <c r="A7" s="1">
        <v>5</v>
      </c>
      <c r="B7" t="s">
        <v>32</v>
      </c>
      <c r="C7" t="s">
        <v>33</v>
      </c>
      <c r="D7" t="s">
        <v>34</v>
      </c>
      <c r="E7">
        <v>0.2857142857142857</v>
      </c>
      <c r="F7" t="s">
        <v>35</v>
      </c>
      <c r="G7" t="s">
        <v>35</v>
      </c>
      <c r="H7">
        <v>1</v>
      </c>
    </row>
    <row r="8" spans="1:8" x14ac:dyDescent="0.3">
      <c r="A8" s="1">
        <v>6</v>
      </c>
      <c r="B8" t="s">
        <v>36</v>
      </c>
      <c r="C8" t="s">
        <v>37</v>
      </c>
      <c r="D8" t="s">
        <v>38</v>
      </c>
      <c r="E8">
        <v>0.5</v>
      </c>
      <c r="F8" t="s">
        <v>39</v>
      </c>
      <c r="G8" t="s">
        <v>39</v>
      </c>
      <c r="H8">
        <v>0.99999994039535522</v>
      </c>
    </row>
    <row r="9" spans="1:8" x14ac:dyDescent="0.3">
      <c r="A9" s="1">
        <v>7</v>
      </c>
      <c r="B9" t="s">
        <v>40</v>
      </c>
      <c r="C9" t="s">
        <v>41</v>
      </c>
      <c r="D9" t="s">
        <v>42</v>
      </c>
      <c r="E9">
        <v>0.8</v>
      </c>
      <c r="F9" t="s">
        <v>43</v>
      </c>
      <c r="G9" t="s">
        <v>44</v>
      </c>
      <c r="H9">
        <v>0.18284463882446289</v>
      </c>
    </row>
    <row r="10" spans="1:8" x14ac:dyDescent="0.3">
      <c r="A10" s="1">
        <v>8</v>
      </c>
      <c r="B10" t="s">
        <v>45</v>
      </c>
      <c r="C10" t="s">
        <v>46</v>
      </c>
      <c r="D10" t="s">
        <v>47</v>
      </c>
      <c r="E10">
        <v>1</v>
      </c>
      <c r="F10" t="s">
        <v>48</v>
      </c>
      <c r="G10" t="s">
        <v>49</v>
      </c>
      <c r="H10">
        <v>0.19802939891815191</v>
      </c>
    </row>
    <row r="11" spans="1:8" x14ac:dyDescent="0.3">
      <c r="A11" s="1">
        <v>9</v>
      </c>
      <c r="B11" t="s">
        <v>50</v>
      </c>
      <c r="C11" t="s">
        <v>51</v>
      </c>
      <c r="D11" t="s">
        <v>52</v>
      </c>
      <c r="E11">
        <v>0.6</v>
      </c>
      <c r="F11" t="s">
        <v>53</v>
      </c>
      <c r="G11" t="s">
        <v>54</v>
      </c>
      <c r="H11">
        <v>0.74012136459350586</v>
      </c>
    </row>
    <row r="12" spans="1:8" x14ac:dyDescent="0.3">
      <c r="A12" s="1">
        <v>10</v>
      </c>
      <c r="B12" t="s">
        <v>55</v>
      </c>
      <c r="C12" t="s">
        <v>56</v>
      </c>
      <c r="D12" t="s">
        <v>57</v>
      </c>
      <c r="E12">
        <v>1.25</v>
      </c>
      <c r="F12" t="s">
        <v>58</v>
      </c>
      <c r="G12" t="s">
        <v>59</v>
      </c>
      <c r="H12">
        <v>0.59055274724960327</v>
      </c>
    </row>
    <row r="13" spans="1:8" x14ac:dyDescent="0.3">
      <c r="A13" s="1">
        <v>11</v>
      </c>
      <c r="B13" t="s">
        <v>60</v>
      </c>
      <c r="C13" t="s">
        <v>61</v>
      </c>
      <c r="D13" t="s">
        <v>62</v>
      </c>
      <c r="E13">
        <v>1.5</v>
      </c>
      <c r="F13" t="s">
        <v>63</v>
      </c>
      <c r="G13" t="s">
        <v>64</v>
      </c>
      <c r="H13">
        <v>0.26416093111038208</v>
      </c>
    </row>
    <row r="14" spans="1:8" x14ac:dyDescent="0.3">
      <c r="A14" s="1">
        <v>12</v>
      </c>
      <c r="B14" t="s">
        <v>65</v>
      </c>
      <c r="C14" t="s">
        <v>66</v>
      </c>
      <c r="D14" t="s">
        <v>67</v>
      </c>
      <c r="E14">
        <v>0.5</v>
      </c>
      <c r="F14" t="s">
        <v>68</v>
      </c>
      <c r="G14" t="s">
        <v>69</v>
      </c>
      <c r="H14">
        <v>0.46012073755264282</v>
      </c>
    </row>
    <row r="15" spans="1:8" x14ac:dyDescent="0.3">
      <c r="A15" s="1">
        <v>13</v>
      </c>
      <c r="B15" t="s">
        <v>70</v>
      </c>
      <c r="C15" t="s">
        <v>71</v>
      </c>
      <c r="D15" t="s">
        <v>72</v>
      </c>
      <c r="E15">
        <v>0.33333333333333331</v>
      </c>
      <c r="F15" t="s">
        <v>73</v>
      </c>
      <c r="G15" t="s">
        <v>74</v>
      </c>
      <c r="H15">
        <v>0.4161582887172699</v>
      </c>
    </row>
    <row r="16" spans="1:8" x14ac:dyDescent="0.3">
      <c r="A16" s="1">
        <v>14</v>
      </c>
      <c r="B16" t="s">
        <v>75</v>
      </c>
      <c r="C16" t="s">
        <v>76</v>
      </c>
      <c r="D16" t="s">
        <v>77</v>
      </c>
      <c r="E16">
        <v>1</v>
      </c>
      <c r="F16" t="s">
        <v>78</v>
      </c>
      <c r="G16" t="s">
        <v>79</v>
      </c>
      <c r="H16">
        <v>0.46657714247703552</v>
      </c>
    </row>
    <row r="17" spans="1:8" x14ac:dyDescent="0.3">
      <c r="A17" s="1">
        <v>15</v>
      </c>
      <c r="B17" t="s">
        <v>80</v>
      </c>
      <c r="C17" t="s">
        <v>81</v>
      </c>
      <c r="D17" t="s">
        <v>82</v>
      </c>
      <c r="E17">
        <v>0.4</v>
      </c>
      <c r="F17" t="s">
        <v>83</v>
      </c>
      <c r="G17" t="s">
        <v>84</v>
      </c>
      <c r="H17">
        <v>0.84347999095916748</v>
      </c>
    </row>
    <row r="18" spans="1:8" x14ac:dyDescent="0.3">
      <c r="A18" s="1">
        <v>16</v>
      </c>
      <c r="B18" t="s">
        <v>85</v>
      </c>
      <c r="C18" t="s">
        <v>86</v>
      </c>
      <c r="D18" t="s">
        <v>86</v>
      </c>
      <c r="E18">
        <v>0</v>
      </c>
      <c r="F18" t="s">
        <v>87</v>
      </c>
      <c r="G18" t="s">
        <v>87</v>
      </c>
      <c r="H18">
        <v>1.0000002384185791</v>
      </c>
    </row>
    <row r="19" spans="1:8" x14ac:dyDescent="0.3">
      <c r="A19" s="1">
        <v>17</v>
      </c>
      <c r="B19" t="s">
        <v>88</v>
      </c>
      <c r="C19" t="s">
        <v>89</v>
      </c>
      <c r="D19" t="s">
        <v>90</v>
      </c>
      <c r="E19">
        <v>1</v>
      </c>
      <c r="F19" t="s">
        <v>91</v>
      </c>
      <c r="G19" t="s">
        <v>92</v>
      </c>
      <c r="H19">
        <v>0.23220984637737269</v>
      </c>
    </row>
    <row r="20" spans="1:8" x14ac:dyDescent="0.3">
      <c r="A20" s="1">
        <v>18</v>
      </c>
      <c r="B20" t="s">
        <v>93</v>
      </c>
      <c r="C20" t="s">
        <v>94</v>
      </c>
      <c r="D20" t="s">
        <v>95</v>
      </c>
      <c r="E20">
        <v>0.75</v>
      </c>
      <c r="F20" t="s">
        <v>96</v>
      </c>
      <c r="G20" t="s">
        <v>97</v>
      </c>
      <c r="H20">
        <v>0.52792418003082275</v>
      </c>
    </row>
    <row r="21" spans="1:8" x14ac:dyDescent="0.3">
      <c r="A21" s="1">
        <v>19</v>
      </c>
      <c r="B21" t="s">
        <v>98</v>
      </c>
      <c r="C21" t="s">
        <v>99</v>
      </c>
      <c r="D21" t="s">
        <v>100</v>
      </c>
      <c r="E21">
        <v>1</v>
      </c>
      <c r="F21" t="s">
        <v>101</v>
      </c>
      <c r="G21" t="s">
        <v>102</v>
      </c>
      <c r="H21">
        <v>0.15250527858734131</v>
      </c>
    </row>
    <row r="22" spans="1:8" x14ac:dyDescent="0.3">
      <c r="A22" s="1">
        <v>20</v>
      </c>
      <c r="B22" t="s">
        <v>103</v>
      </c>
      <c r="C22" t="s">
        <v>104</v>
      </c>
      <c r="D22" t="s">
        <v>105</v>
      </c>
      <c r="E22">
        <v>1</v>
      </c>
      <c r="F22" t="s">
        <v>106</v>
      </c>
      <c r="G22" t="s">
        <v>107</v>
      </c>
      <c r="H22">
        <v>1.788007095456123E-2</v>
      </c>
    </row>
    <row r="23" spans="1:8" x14ac:dyDescent="0.3">
      <c r="A23" s="1">
        <v>21</v>
      </c>
      <c r="B23" t="s">
        <v>108</v>
      </c>
      <c r="C23" t="s">
        <v>109</v>
      </c>
      <c r="D23" t="s">
        <v>110</v>
      </c>
      <c r="E23">
        <v>1</v>
      </c>
      <c r="F23" t="s">
        <v>111</v>
      </c>
      <c r="G23" t="s">
        <v>112</v>
      </c>
      <c r="H23">
        <v>0.37175759673118591</v>
      </c>
    </row>
    <row r="24" spans="1:8" x14ac:dyDescent="0.3">
      <c r="A24" s="1">
        <v>22</v>
      </c>
      <c r="B24" t="s">
        <v>113</v>
      </c>
      <c r="C24" t="s">
        <v>114</v>
      </c>
      <c r="D24" t="s">
        <v>115</v>
      </c>
      <c r="E24">
        <v>0.75</v>
      </c>
      <c r="F24" t="s">
        <v>116</v>
      </c>
      <c r="G24" t="s">
        <v>117</v>
      </c>
      <c r="H24">
        <v>0.23692888021469119</v>
      </c>
    </row>
    <row r="25" spans="1:8" x14ac:dyDescent="0.3">
      <c r="A25" s="1">
        <v>23</v>
      </c>
      <c r="B25" t="s">
        <v>118</v>
      </c>
      <c r="C25" t="s">
        <v>119</v>
      </c>
      <c r="D25" t="s">
        <v>120</v>
      </c>
      <c r="E25">
        <v>1.5</v>
      </c>
      <c r="F25" t="s">
        <v>121</v>
      </c>
      <c r="G25" t="s">
        <v>122</v>
      </c>
      <c r="H25">
        <v>0.13610383868217471</v>
      </c>
    </row>
    <row r="26" spans="1:8" x14ac:dyDescent="0.3">
      <c r="A26" s="1">
        <v>24</v>
      </c>
      <c r="B26" t="s">
        <v>123</v>
      </c>
      <c r="C26" t="s">
        <v>124</v>
      </c>
      <c r="D26" t="s">
        <v>125</v>
      </c>
      <c r="E26">
        <v>1</v>
      </c>
      <c r="F26" t="s">
        <v>126</v>
      </c>
      <c r="G26" t="s">
        <v>127</v>
      </c>
      <c r="H26">
        <v>0.12500423192977911</v>
      </c>
    </row>
    <row r="27" spans="1:8" x14ac:dyDescent="0.3">
      <c r="A27" s="1">
        <v>25</v>
      </c>
      <c r="B27" t="s">
        <v>128</v>
      </c>
      <c r="C27" t="s">
        <v>129</v>
      </c>
      <c r="D27" t="s">
        <v>130</v>
      </c>
      <c r="E27">
        <v>0.8</v>
      </c>
      <c r="F27" t="s">
        <v>131</v>
      </c>
      <c r="G27" t="s">
        <v>132</v>
      </c>
      <c r="H27">
        <v>3.3954005688428879E-2</v>
      </c>
    </row>
    <row r="28" spans="1:8" x14ac:dyDescent="0.3">
      <c r="A28" s="1">
        <v>26</v>
      </c>
      <c r="B28" t="s">
        <v>133</v>
      </c>
      <c r="C28" t="s">
        <v>134</v>
      </c>
      <c r="D28" t="s">
        <v>135</v>
      </c>
      <c r="E28">
        <v>1</v>
      </c>
      <c r="F28" t="s">
        <v>136</v>
      </c>
      <c r="G28" t="s">
        <v>137</v>
      </c>
      <c r="H28">
        <v>-5.4810993373394012E-2</v>
      </c>
    </row>
    <row r="29" spans="1:8" x14ac:dyDescent="0.3">
      <c r="A29" s="1">
        <v>27</v>
      </c>
      <c r="B29" t="s">
        <v>138</v>
      </c>
      <c r="C29" t="s">
        <v>139</v>
      </c>
      <c r="D29" t="s">
        <v>140</v>
      </c>
      <c r="E29">
        <v>1</v>
      </c>
      <c r="F29" t="s">
        <v>141</v>
      </c>
      <c r="G29" t="s">
        <v>142</v>
      </c>
      <c r="H29">
        <v>0.1168616712093353</v>
      </c>
    </row>
    <row r="30" spans="1:8" x14ac:dyDescent="0.3">
      <c r="A30" s="1">
        <v>28</v>
      </c>
      <c r="B30" t="s">
        <v>143</v>
      </c>
      <c r="C30" t="s">
        <v>144</v>
      </c>
      <c r="D30" t="s">
        <v>145</v>
      </c>
      <c r="E30">
        <v>1</v>
      </c>
      <c r="F30" t="s">
        <v>146</v>
      </c>
      <c r="G30" t="s">
        <v>147</v>
      </c>
      <c r="H30">
        <v>7.311566174030304E-2</v>
      </c>
    </row>
    <row r="31" spans="1:8" x14ac:dyDescent="0.3">
      <c r="A31" s="1">
        <v>29</v>
      </c>
      <c r="B31" t="s">
        <v>148</v>
      </c>
      <c r="C31" t="s">
        <v>149</v>
      </c>
      <c r="D31" t="s">
        <v>150</v>
      </c>
      <c r="E31">
        <v>1</v>
      </c>
      <c r="F31" t="s">
        <v>151</v>
      </c>
      <c r="G31" t="s">
        <v>152</v>
      </c>
      <c r="H31">
        <v>0.18337370455265051</v>
      </c>
    </row>
    <row r="32" spans="1:8" x14ac:dyDescent="0.3">
      <c r="A32" s="1">
        <v>30</v>
      </c>
      <c r="B32" t="s">
        <v>153</v>
      </c>
      <c r="C32" t="s">
        <v>154</v>
      </c>
      <c r="D32" t="s">
        <v>154</v>
      </c>
      <c r="E32">
        <v>0</v>
      </c>
      <c r="F32" t="s">
        <v>155</v>
      </c>
      <c r="G32" t="s">
        <v>155</v>
      </c>
      <c r="H32">
        <v>1.00000011920929</v>
      </c>
    </row>
    <row r="33" spans="1:8" x14ac:dyDescent="0.3">
      <c r="A33" s="1">
        <v>31</v>
      </c>
      <c r="B33" t="s">
        <v>156</v>
      </c>
      <c r="C33" t="s">
        <v>157</v>
      </c>
      <c r="D33" t="s">
        <v>158</v>
      </c>
      <c r="E33">
        <v>1</v>
      </c>
      <c r="F33" t="s">
        <v>159</v>
      </c>
      <c r="G33" t="s">
        <v>160</v>
      </c>
      <c r="H33">
        <v>0.42341235280036932</v>
      </c>
    </row>
    <row r="34" spans="1:8" x14ac:dyDescent="0.3">
      <c r="A34" s="1">
        <v>32</v>
      </c>
      <c r="B34" t="s">
        <v>161</v>
      </c>
      <c r="C34" t="s">
        <v>162</v>
      </c>
      <c r="D34" t="s">
        <v>163</v>
      </c>
      <c r="E34">
        <v>64</v>
      </c>
      <c r="F34" t="s">
        <v>164</v>
      </c>
      <c r="G34" t="s">
        <v>165</v>
      </c>
      <c r="H34">
        <v>0.14046585559844971</v>
      </c>
    </row>
    <row r="35" spans="1:8" x14ac:dyDescent="0.3">
      <c r="A35" s="1">
        <v>33</v>
      </c>
      <c r="B35" t="s">
        <v>166</v>
      </c>
      <c r="C35" t="s">
        <v>167</v>
      </c>
      <c r="D35" t="s">
        <v>168</v>
      </c>
      <c r="E35">
        <v>0.8571428571428571</v>
      </c>
      <c r="F35" t="s">
        <v>169</v>
      </c>
      <c r="G35" t="s">
        <v>170</v>
      </c>
      <c r="H35">
        <v>0.15373677015304571</v>
      </c>
    </row>
    <row r="36" spans="1:8" x14ac:dyDescent="0.3">
      <c r="A36" s="1">
        <v>34</v>
      </c>
      <c r="B36" t="s">
        <v>171</v>
      </c>
      <c r="C36" t="s">
        <v>172</v>
      </c>
      <c r="D36" t="s">
        <v>173</v>
      </c>
      <c r="E36">
        <v>0.4</v>
      </c>
      <c r="F36" t="s">
        <v>174</v>
      </c>
      <c r="G36" t="s">
        <v>175</v>
      </c>
      <c r="H36">
        <v>0.79385626316070557</v>
      </c>
    </row>
    <row r="37" spans="1:8" x14ac:dyDescent="0.3">
      <c r="A37" s="1">
        <v>35</v>
      </c>
      <c r="B37" t="s">
        <v>176</v>
      </c>
      <c r="C37" t="s">
        <v>177</v>
      </c>
      <c r="D37" t="s">
        <v>178</v>
      </c>
      <c r="E37">
        <v>0.33333333333333331</v>
      </c>
      <c r="F37" t="s">
        <v>179</v>
      </c>
      <c r="G37" t="s">
        <v>180</v>
      </c>
      <c r="H37">
        <v>0.68035244941711426</v>
      </c>
    </row>
    <row r="38" spans="1:8" x14ac:dyDescent="0.3">
      <c r="A38" s="1">
        <v>36</v>
      </c>
      <c r="B38" t="s">
        <v>181</v>
      </c>
      <c r="C38" t="s">
        <v>182</v>
      </c>
      <c r="D38" t="s">
        <v>183</v>
      </c>
      <c r="E38">
        <v>1</v>
      </c>
      <c r="F38" t="s">
        <v>184</v>
      </c>
      <c r="G38" t="s">
        <v>185</v>
      </c>
      <c r="H38">
        <v>6.119241937994957E-2</v>
      </c>
    </row>
    <row r="39" spans="1:8" x14ac:dyDescent="0.3">
      <c r="A39" s="1">
        <v>37</v>
      </c>
      <c r="B39" t="s">
        <v>186</v>
      </c>
      <c r="C39" t="s">
        <v>187</v>
      </c>
      <c r="D39" t="s">
        <v>188</v>
      </c>
      <c r="E39">
        <v>0.66666666666666663</v>
      </c>
      <c r="F39" t="s">
        <v>189</v>
      </c>
      <c r="G39" t="s">
        <v>190</v>
      </c>
      <c r="H39">
        <v>0.93123674392700195</v>
      </c>
    </row>
    <row r="40" spans="1:8" x14ac:dyDescent="0.3">
      <c r="A40" s="1">
        <v>38</v>
      </c>
      <c r="B40" t="s">
        <v>191</v>
      </c>
      <c r="C40" t="s">
        <v>192</v>
      </c>
      <c r="D40" t="s">
        <v>193</v>
      </c>
      <c r="E40">
        <v>0.25</v>
      </c>
      <c r="F40" t="s">
        <v>194</v>
      </c>
      <c r="G40" t="s">
        <v>195</v>
      </c>
      <c r="H40">
        <v>0.53685164451599121</v>
      </c>
    </row>
    <row r="41" spans="1:8" x14ac:dyDescent="0.3">
      <c r="A41" s="1">
        <v>39</v>
      </c>
      <c r="B41" t="s">
        <v>196</v>
      </c>
      <c r="C41" t="s">
        <v>197</v>
      </c>
      <c r="D41" t="s">
        <v>198</v>
      </c>
      <c r="E41">
        <v>0.5</v>
      </c>
      <c r="F41" t="s">
        <v>199</v>
      </c>
      <c r="G41" t="s">
        <v>200</v>
      </c>
      <c r="H41">
        <v>0.89452874660491943</v>
      </c>
    </row>
    <row r="42" spans="1:8" x14ac:dyDescent="0.3">
      <c r="A42" s="1">
        <v>40</v>
      </c>
      <c r="B42" t="s">
        <v>201</v>
      </c>
      <c r="C42" t="s">
        <v>202</v>
      </c>
      <c r="D42" t="s">
        <v>203</v>
      </c>
      <c r="E42">
        <v>0.42857142857142849</v>
      </c>
      <c r="F42" t="s">
        <v>204</v>
      </c>
      <c r="G42" t="s">
        <v>205</v>
      </c>
      <c r="H42">
        <v>0.95409530401229858</v>
      </c>
    </row>
    <row r="43" spans="1:8" x14ac:dyDescent="0.3">
      <c r="A43" s="1">
        <v>41</v>
      </c>
      <c r="B43" t="s">
        <v>206</v>
      </c>
      <c r="C43" t="s">
        <v>207</v>
      </c>
      <c r="D43" t="s">
        <v>208</v>
      </c>
      <c r="E43">
        <v>0.4</v>
      </c>
      <c r="F43" t="s">
        <v>209</v>
      </c>
      <c r="G43" t="s">
        <v>210</v>
      </c>
      <c r="H43">
        <v>0.57102739810943604</v>
      </c>
    </row>
    <row r="44" spans="1:8" x14ac:dyDescent="0.3">
      <c r="A44" s="1">
        <v>42</v>
      </c>
      <c r="B44" t="s">
        <v>211</v>
      </c>
      <c r="C44" t="s">
        <v>212</v>
      </c>
      <c r="D44" t="s">
        <v>213</v>
      </c>
      <c r="E44">
        <v>0.66666666666666663</v>
      </c>
      <c r="F44" t="s">
        <v>214</v>
      </c>
      <c r="G44" t="s">
        <v>215</v>
      </c>
      <c r="H44">
        <v>0.2242375314235687</v>
      </c>
    </row>
    <row r="45" spans="1:8" x14ac:dyDescent="0.3">
      <c r="A45" s="1">
        <v>43</v>
      </c>
      <c r="B45" t="s">
        <v>216</v>
      </c>
      <c r="C45" t="s">
        <v>217</v>
      </c>
      <c r="D45" t="s">
        <v>218</v>
      </c>
      <c r="E45">
        <v>1</v>
      </c>
      <c r="F45" t="s">
        <v>219</v>
      </c>
      <c r="G45" t="s">
        <v>220</v>
      </c>
      <c r="H45">
        <v>0.17273461818695071</v>
      </c>
    </row>
    <row r="46" spans="1:8" x14ac:dyDescent="0.3">
      <c r="A46" s="1">
        <v>44</v>
      </c>
      <c r="B46" t="s">
        <v>221</v>
      </c>
      <c r="C46" t="s">
        <v>222</v>
      </c>
      <c r="D46" t="s">
        <v>223</v>
      </c>
      <c r="E46">
        <v>0.75</v>
      </c>
      <c r="F46" t="s">
        <v>224</v>
      </c>
      <c r="G46" t="s">
        <v>225</v>
      </c>
      <c r="H46">
        <v>0.36288589239120478</v>
      </c>
    </row>
    <row r="47" spans="1:8" x14ac:dyDescent="0.3">
      <c r="A47" s="1">
        <v>45</v>
      </c>
      <c r="B47" t="s">
        <v>226</v>
      </c>
      <c r="C47" t="s">
        <v>227</v>
      </c>
      <c r="D47" t="s">
        <v>228</v>
      </c>
      <c r="E47">
        <v>0.5</v>
      </c>
      <c r="F47" t="s">
        <v>229</v>
      </c>
      <c r="G47" t="s">
        <v>230</v>
      </c>
      <c r="H47">
        <v>0.66976898908615112</v>
      </c>
    </row>
    <row r="48" spans="1:8" x14ac:dyDescent="0.3">
      <c r="A48" s="1">
        <v>46</v>
      </c>
      <c r="B48" t="s">
        <v>231</v>
      </c>
      <c r="C48" t="s">
        <v>232</v>
      </c>
      <c r="D48" t="s">
        <v>233</v>
      </c>
      <c r="E48">
        <v>1</v>
      </c>
      <c r="F48" t="s">
        <v>234</v>
      </c>
      <c r="G48" t="s">
        <v>235</v>
      </c>
      <c r="H48">
        <v>0.26307851076126099</v>
      </c>
    </row>
    <row r="49" spans="1:8" x14ac:dyDescent="0.3">
      <c r="A49" s="1">
        <v>47</v>
      </c>
      <c r="B49" t="s">
        <v>236</v>
      </c>
      <c r="C49" t="s">
        <v>237</v>
      </c>
      <c r="D49" t="s">
        <v>238</v>
      </c>
      <c r="E49">
        <v>1</v>
      </c>
      <c r="F49" t="s">
        <v>239</v>
      </c>
      <c r="G49" t="s">
        <v>240</v>
      </c>
      <c r="H49">
        <v>0.43307942152023321</v>
      </c>
    </row>
    <row r="50" spans="1:8" x14ac:dyDescent="0.3">
      <c r="A50" s="1">
        <v>48</v>
      </c>
      <c r="B50" t="s">
        <v>241</v>
      </c>
      <c r="C50" t="s">
        <v>242</v>
      </c>
      <c r="D50" t="s">
        <v>243</v>
      </c>
      <c r="E50">
        <v>0.55555555555555558</v>
      </c>
      <c r="F50" t="s">
        <v>244</v>
      </c>
      <c r="G50" t="s">
        <v>245</v>
      </c>
      <c r="H50">
        <v>0.41294416785240168</v>
      </c>
    </row>
    <row r="51" spans="1:8" x14ac:dyDescent="0.3">
      <c r="A51" s="1">
        <v>49</v>
      </c>
      <c r="B51" t="s">
        <v>246</v>
      </c>
      <c r="C51" t="s">
        <v>247</v>
      </c>
      <c r="D51" t="s">
        <v>248</v>
      </c>
      <c r="E51">
        <v>1</v>
      </c>
      <c r="F51" t="s">
        <v>249</v>
      </c>
      <c r="G51" t="s">
        <v>250</v>
      </c>
      <c r="H51">
        <v>0.15415400266647339</v>
      </c>
    </row>
    <row r="52" spans="1:8" x14ac:dyDescent="0.3">
      <c r="A52" s="1">
        <v>50</v>
      </c>
      <c r="B52" t="s">
        <v>251</v>
      </c>
      <c r="C52" t="s">
        <v>252</v>
      </c>
      <c r="D52" t="s">
        <v>253</v>
      </c>
      <c r="E52">
        <v>1</v>
      </c>
      <c r="F52" t="s">
        <v>254</v>
      </c>
      <c r="G52" t="s">
        <v>255</v>
      </c>
      <c r="H52">
        <v>3.3694440498948102E-3</v>
      </c>
    </row>
    <row r="53" spans="1:8" x14ac:dyDescent="0.3">
      <c r="A53" s="1">
        <v>51</v>
      </c>
      <c r="B53" t="s">
        <v>256</v>
      </c>
      <c r="C53" t="s">
        <v>257</v>
      </c>
      <c r="D53" t="s">
        <v>258</v>
      </c>
      <c r="E53">
        <v>1</v>
      </c>
      <c r="F53" t="s">
        <v>259</v>
      </c>
      <c r="G53" t="s">
        <v>260</v>
      </c>
      <c r="H53">
        <v>0.1452281326055527</v>
      </c>
    </row>
    <row r="54" spans="1:8" x14ac:dyDescent="0.3">
      <c r="A54" s="1">
        <v>52</v>
      </c>
      <c r="B54" t="s">
        <v>261</v>
      </c>
      <c r="C54" t="s">
        <v>262</v>
      </c>
      <c r="D54" t="s">
        <v>263</v>
      </c>
      <c r="E54">
        <v>0.25</v>
      </c>
      <c r="F54" t="s">
        <v>264</v>
      </c>
      <c r="G54" t="s">
        <v>264</v>
      </c>
      <c r="H54">
        <v>1.0000002384185791</v>
      </c>
    </row>
    <row r="55" spans="1:8" x14ac:dyDescent="0.3">
      <c r="A55" s="1">
        <v>53</v>
      </c>
      <c r="B55" t="s">
        <v>265</v>
      </c>
      <c r="C55" t="s">
        <v>266</v>
      </c>
      <c r="D55" t="s">
        <v>267</v>
      </c>
      <c r="E55">
        <v>0.7142857142857143</v>
      </c>
      <c r="F55" t="s">
        <v>268</v>
      </c>
      <c r="G55" t="s">
        <v>269</v>
      </c>
      <c r="H55">
        <v>0.71379321813583374</v>
      </c>
    </row>
    <row r="56" spans="1:8" x14ac:dyDescent="0.3">
      <c r="A56" s="1">
        <v>54</v>
      </c>
      <c r="B56" t="s">
        <v>270</v>
      </c>
      <c r="C56" t="s">
        <v>271</v>
      </c>
      <c r="D56" t="s">
        <v>272</v>
      </c>
      <c r="E56">
        <v>1</v>
      </c>
      <c r="F56" t="s">
        <v>273</v>
      </c>
      <c r="G56" t="s">
        <v>274</v>
      </c>
      <c r="H56">
        <v>0.40583360195159912</v>
      </c>
    </row>
    <row r="57" spans="1:8" x14ac:dyDescent="0.3">
      <c r="A57" s="1">
        <v>55</v>
      </c>
      <c r="B57" t="s">
        <v>275</v>
      </c>
      <c r="C57" t="s">
        <v>276</v>
      </c>
      <c r="D57" t="s">
        <v>277</v>
      </c>
      <c r="E57">
        <v>0.2</v>
      </c>
      <c r="F57" t="s">
        <v>278</v>
      </c>
      <c r="G57" t="s">
        <v>279</v>
      </c>
      <c r="H57">
        <v>0.75294989347457886</v>
      </c>
    </row>
    <row r="58" spans="1:8" x14ac:dyDescent="0.3">
      <c r="A58" s="1">
        <v>56</v>
      </c>
      <c r="B58" t="s">
        <v>280</v>
      </c>
      <c r="C58" t="s">
        <v>281</v>
      </c>
      <c r="D58" t="s">
        <v>282</v>
      </c>
      <c r="E58">
        <v>1</v>
      </c>
      <c r="F58" t="s">
        <v>283</v>
      </c>
      <c r="G58" t="s">
        <v>284</v>
      </c>
      <c r="H58">
        <v>0.21768653392791751</v>
      </c>
    </row>
    <row r="59" spans="1:8" x14ac:dyDescent="0.3">
      <c r="A59" s="1">
        <v>57</v>
      </c>
      <c r="B59" t="s">
        <v>285</v>
      </c>
      <c r="C59" t="s">
        <v>286</v>
      </c>
      <c r="D59" t="s">
        <v>287</v>
      </c>
      <c r="E59">
        <v>1.153846153846154</v>
      </c>
      <c r="F59" t="s">
        <v>288</v>
      </c>
      <c r="G59" t="s">
        <v>289</v>
      </c>
      <c r="H59">
        <v>0.1140464693307877</v>
      </c>
    </row>
    <row r="60" spans="1:8" x14ac:dyDescent="0.3">
      <c r="A60" s="1">
        <v>58</v>
      </c>
      <c r="B60" t="s">
        <v>290</v>
      </c>
      <c r="C60" t="s">
        <v>291</v>
      </c>
      <c r="D60" t="s">
        <v>292</v>
      </c>
      <c r="E60">
        <v>0.75</v>
      </c>
      <c r="F60" t="s">
        <v>293</v>
      </c>
      <c r="G60" t="s">
        <v>294</v>
      </c>
      <c r="H60">
        <v>0.14907167851924899</v>
      </c>
    </row>
    <row r="61" spans="1:8" x14ac:dyDescent="0.3">
      <c r="A61" s="1">
        <v>59</v>
      </c>
      <c r="B61" t="s">
        <v>295</v>
      </c>
      <c r="C61" t="s">
        <v>296</v>
      </c>
      <c r="D61" t="s">
        <v>297</v>
      </c>
      <c r="E61">
        <v>1</v>
      </c>
      <c r="F61" t="s">
        <v>298</v>
      </c>
      <c r="G61" t="s">
        <v>299</v>
      </c>
      <c r="H61">
        <v>0.30048099160194403</v>
      </c>
    </row>
    <row r="62" spans="1:8" x14ac:dyDescent="0.3">
      <c r="A62" s="1">
        <v>60</v>
      </c>
      <c r="B62" t="s">
        <v>300</v>
      </c>
      <c r="C62" t="s">
        <v>301</v>
      </c>
      <c r="D62" t="s">
        <v>302</v>
      </c>
      <c r="E62">
        <v>0.7142857142857143</v>
      </c>
      <c r="F62" t="s">
        <v>303</v>
      </c>
      <c r="G62" t="s">
        <v>304</v>
      </c>
      <c r="H62">
        <v>0.44257825613021851</v>
      </c>
    </row>
    <row r="63" spans="1:8" x14ac:dyDescent="0.3">
      <c r="A63" s="1">
        <v>61</v>
      </c>
      <c r="B63" t="s">
        <v>305</v>
      </c>
      <c r="C63" t="s">
        <v>306</v>
      </c>
      <c r="D63" t="s">
        <v>307</v>
      </c>
      <c r="E63">
        <v>0.6</v>
      </c>
      <c r="F63" t="s">
        <v>308</v>
      </c>
      <c r="G63" t="s">
        <v>309</v>
      </c>
      <c r="H63">
        <v>0.96706736087799072</v>
      </c>
    </row>
    <row r="64" spans="1:8" x14ac:dyDescent="0.3">
      <c r="A64" s="1">
        <v>62</v>
      </c>
      <c r="B64" t="s">
        <v>310</v>
      </c>
      <c r="C64" t="s">
        <v>227</v>
      </c>
      <c r="D64" t="s">
        <v>311</v>
      </c>
      <c r="E64">
        <v>0.33333333333333331</v>
      </c>
      <c r="F64" t="s">
        <v>229</v>
      </c>
      <c r="G64" t="s">
        <v>229</v>
      </c>
      <c r="H64">
        <v>0.99999988079071045</v>
      </c>
    </row>
    <row r="65" spans="1:8" x14ac:dyDescent="0.3">
      <c r="A65" s="1">
        <v>63</v>
      </c>
      <c r="B65" t="s">
        <v>312</v>
      </c>
      <c r="C65" t="s">
        <v>313</v>
      </c>
      <c r="D65" t="s">
        <v>314</v>
      </c>
      <c r="E65">
        <v>1</v>
      </c>
      <c r="F65" t="s">
        <v>315</v>
      </c>
      <c r="G65" t="s">
        <v>316</v>
      </c>
      <c r="H65">
        <v>-1.059324573725462E-2</v>
      </c>
    </row>
    <row r="66" spans="1:8" x14ac:dyDescent="0.3">
      <c r="A66" s="1">
        <v>64</v>
      </c>
      <c r="B66" t="s">
        <v>317</v>
      </c>
      <c r="C66" t="s">
        <v>318</v>
      </c>
      <c r="D66" t="s">
        <v>319</v>
      </c>
      <c r="E66">
        <v>0.8</v>
      </c>
      <c r="F66" t="s">
        <v>320</v>
      </c>
      <c r="G66" t="s">
        <v>321</v>
      </c>
      <c r="H66">
        <v>6.0340922325849533E-2</v>
      </c>
    </row>
    <row r="67" spans="1:8" x14ac:dyDescent="0.3">
      <c r="A67" s="1">
        <v>65</v>
      </c>
      <c r="B67" t="s">
        <v>322</v>
      </c>
      <c r="C67" t="s">
        <v>323</v>
      </c>
      <c r="D67" t="s">
        <v>324</v>
      </c>
      <c r="E67">
        <v>0.8</v>
      </c>
      <c r="F67" t="s">
        <v>325</v>
      </c>
      <c r="G67" t="s">
        <v>326</v>
      </c>
      <c r="H67">
        <v>0.40192386507987982</v>
      </c>
    </row>
    <row r="68" spans="1:8" x14ac:dyDescent="0.3">
      <c r="A68" s="1">
        <v>66</v>
      </c>
      <c r="B68" t="s">
        <v>327</v>
      </c>
      <c r="C68" t="s">
        <v>328</v>
      </c>
      <c r="D68" t="s">
        <v>329</v>
      </c>
      <c r="E68">
        <v>0.3</v>
      </c>
      <c r="F68" t="s">
        <v>330</v>
      </c>
      <c r="G68" t="s">
        <v>331</v>
      </c>
      <c r="H68">
        <v>0.68641412258148193</v>
      </c>
    </row>
    <row r="69" spans="1:8" x14ac:dyDescent="0.3">
      <c r="A69" s="1">
        <v>67</v>
      </c>
      <c r="B69" t="s">
        <v>332</v>
      </c>
      <c r="C69" t="s">
        <v>333</v>
      </c>
      <c r="D69" t="s">
        <v>334</v>
      </c>
      <c r="E69">
        <v>1</v>
      </c>
      <c r="F69" t="s">
        <v>335</v>
      </c>
      <c r="G69" t="s">
        <v>336</v>
      </c>
      <c r="H69">
        <v>0.13104258477687841</v>
      </c>
    </row>
    <row r="70" spans="1:8" x14ac:dyDescent="0.3">
      <c r="A70" s="1">
        <v>68</v>
      </c>
      <c r="B70" t="s">
        <v>337</v>
      </c>
      <c r="C70" t="s">
        <v>338</v>
      </c>
      <c r="D70" t="s">
        <v>339</v>
      </c>
      <c r="E70">
        <v>0.75</v>
      </c>
      <c r="F70" t="s">
        <v>340</v>
      </c>
      <c r="G70" t="s">
        <v>341</v>
      </c>
      <c r="H70">
        <v>0.98927438259124756</v>
      </c>
    </row>
    <row r="71" spans="1:8" x14ac:dyDescent="0.3">
      <c r="A71" s="1">
        <v>69</v>
      </c>
      <c r="B71" t="s">
        <v>342</v>
      </c>
      <c r="C71" t="s">
        <v>343</v>
      </c>
      <c r="D71" t="s">
        <v>344</v>
      </c>
      <c r="E71">
        <v>0.16666666666666671</v>
      </c>
      <c r="F71" t="s">
        <v>345</v>
      </c>
      <c r="G71" t="s">
        <v>346</v>
      </c>
      <c r="H71">
        <v>0.79851973056793213</v>
      </c>
    </row>
    <row r="72" spans="1:8" x14ac:dyDescent="0.3">
      <c r="A72" s="1">
        <v>70</v>
      </c>
      <c r="B72" t="s">
        <v>347</v>
      </c>
      <c r="C72" t="s">
        <v>348</v>
      </c>
      <c r="D72" t="s">
        <v>349</v>
      </c>
      <c r="E72">
        <v>0.5714285714285714</v>
      </c>
      <c r="F72" t="s">
        <v>350</v>
      </c>
      <c r="G72" t="s">
        <v>351</v>
      </c>
      <c r="H72">
        <v>0.72383338212966919</v>
      </c>
    </row>
    <row r="73" spans="1:8" x14ac:dyDescent="0.3">
      <c r="A73" s="1">
        <v>71</v>
      </c>
      <c r="B73" t="s">
        <v>352</v>
      </c>
      <c r="C73" t="s">
        <v>353</v>
      </c>
      <c r="D73" t="s">
        <v>354</v>
      </c>
      <c r="E73">
        <v>1</v>
      </c>
      <c r="F73" t="s">
        <v>355</v>
      </c>
      <c r="G73" t="s">
        <v>356</v>
      </c>
      <c r="H73">
        <v>1.8437586724758152E-2</v>
      </c>
    </row>
    <row r="74" spans="1:8" x14ac:dyDescent="0.3">
      <c r="A74" s="1">
        <v>72</v>
      </c>
      <c r="B74" t="s">
        <v>357</v>
      </c>
      <c r="C74" t="s">
        <v>358</v>
      </c>
      <c r="D74" t="s">
        <v>358</v>
      </c>
      <c r="E74">
        <v>0</v>
      </c>
      <c r="F74" t="s">
        <v>359</v>
      </c>
      <c r="G74" t="s">
        <v>359</v>
      </c>
      <c r="H74">
        <v>1.00000011920929</v>
      </c>
    </row>
    <row r="75" spans="1:8" x14ac:dyDescent="0.3">
      <c r="A75" s="1">
        <v>73</v>
      </c>
      <c r="B75" t="s">
        <v>360</v>
      </c>
      <c r="C75" t="s">
        <v>361</v>
      </c>
      <c r="D75" t="s">
        <v>362</v>
      </c>
      <c r="E75">
        <v>1</v>
      </c>
      <c r="F75" t="s">
        <v>363</v>
      </c>
      <c r="G75" t="s">
        <v>364</v>
      </c>
      <c r="H75">
        <v>0.16181020438671109</v>
      </c>
    </row>
    <row r="76" spans="1:8" x14ac:dyDescent="0.3">
      <c r="A76" s="1">
        <v>74</v>
      </c>
      <c r="B76" t="s">
        <v>365</v>
      </c>
      <c r="C76" t="s">
        <v>366</v>
      </c>
      <c r="D76" t="s">
        <v>367</v>
      </c>
      <c r="E76">
        <v>1.666666666666667</v>
      </c>
      <c r="F76" t="s">
        <v>368</v>
      </c>
      <c r="G76" t="s">
        <v>369</v>
      </c>
      <c r="H76">
        <v>0.1434168815612793</v>
      </c>
    </row>
    <row r="77" spans="1:8" x14ac:dyDescent="0.3">
      <c r="A77" s="1">
        <v>75</v>
      </c>
      <c r="B77" t="s">
        <v>370</v>
      </c>
      <c r="C77" t="s">
        <v>371</v>
      </c>
      <c r="D77" t="s">
        <v>372</v>
      </c>
      <c r="E77">
        <v>1.25</v>
      </c>
      <c r="F77" t="s">
        <v>373</v>
      </c>
      <c r="G77" t="s">
        <v>374</v>
      </c>
      <c r="H77">
        <v>0.2478972673416138</v>
      </c>
    </row>
    <row r="78" spans="1:8" x14ac:dyDescent="0.3">
      <c r="A78" s="1">
        <v>76</v>
      </c>
      <c r="B78" t="s">
        <v>375</v>
      </c>
      <c r="C78" t="s">
        <v>376</v>
      </c>
      <c r="D78" t="s">
        <v>377</v>
      </c>
      <c r="E78">
        <v>37</v>
      </c>
      <c r="F78" t="s">
        <v>378</v>
      </c>
      <c r="G78" t="s">
        <v>379</v>
      </c>
      <c r="H78">
        <v>-5.5422760546207428E-2</v>
      </c>
    </row>
    <row r="79" spans="1:8" x14ac:dyDescent="0.3">
      <c r="A79" s="1">
        <v>77</v>
      </c>
      <c r="B79" t="s">
        <v>380</v>
      </c>
      <c r="C79" t="s">
        <v>381</v>
      </c>
      <c r="D79" t="s">
        <v>382</v>
      </c>
      <c r="E79">
        <v>1</v>
      </c>
      <c r="F79" t="s">
        <v>383</v>
      </c>
      <c r="G79" t="s">
        <v>384</v>
      </c>
      <c r="H79">
        <v>2.3152250796556469E-2</v>
      </c>
    </row>
    <row r="80" spans="1:8" x14ac:dyDescent="0.3">
      <c r="A80" s="1">
        <v>78</v>
      </c>
      <c r="B80" t="s">
        <v>385</v>
      </c>
      <c r="C80" t="s">
        <v>386</v>
      </c>
      <c r="D80" t="s">
        <v>387</v>
      </c>
      <c r="E80">
        <v>1</v>
      </c>
      <c r="F80" t="s">
        <v>388</v>
      </c>
      <c r="G80" t="s">
        <v>389</v>
      </c>
      <c r="H80">
        <v>0.1914719492197037</v>
      </c>
    </row>
    <row r="81" spans="1:8" x14ac:dyDescent="0.3">
      <c r="A81" s="1">
        <v>79</v>
      </c>
      <c r="B81" t="s">
        <v>390</v>
      </c>
      <c r="C81" t="s">
        <v>391</v>
      </c>
      <c r="D81" t="s">
        <v>392</v>
      </c>
      <c r="E81">
        <v>1</v>
      </c>
      <c r="F81" t="s">
        <v>393</v>
      </c>
      <c r="G81" t="s">
        <v>394</v>
      </c>
      <c r="H81">
        <v>0.25752788782119751</v>
      </c>
    </row>
    <row r="82" spans="1:8" x14ac:dyDescent="0.3">
      <c r="A82" s="1">
        <v>80</v>
      </c>
      <c r="B82" t="s">
        <v>395</v>
      </c>
      <c r="C82" t="s">
        <v>396</v>
      </c>
      <c r="D82" t="s">
        <v>397</v>
      </c>
      <c r="E82">
        <v>0.66666666666666663</v>
      </c>
      <c r="F82" t="s">
        <v>398</v>
      </c>
      <c r="G82" t="s">
        <v>398</v>
      </c>
      <c r="H82">
        <v>1</v>
      </c>
    </row>
    <row r="83" spans="1:8" x14ac:dyDescent="0.3">
      <c r="A83" s="1">
        <v>81</v>
      </c>
      <c r="B83" t="s">
        <v>399</v>
      </c>
      <c r="C83" t="s">
        <v>400</v>
      </c>
      <c r="D83" t="s">
        <v>401</v>
      </c>
      <c r="E83">
        <v>0.8571428571428571</v>
      </c>
      <c r="F83" t="s">
        <v>402</v>
      </c>
      <c r="G83" t="s">
        <v>403</v>
      </c>
      <c r="H83">
        <v>0.36957472562789923</v>
      </c>
    </row>
    <row r="84" spans="1:8" x14ac:dyDescent="0.3">
      <c r="A84" s="1">
        <v>82</v>
      </c>
      <c r="B84" t="s">
        <v>404</v>
      </c>
      <c r="C84" t="s">
        <v>405</v>
      </c>
      <c r="D84" t="s">
        <v>405</v>
      </c>
      <c r="E84">
        <v>0</v>
      </c>
      <c r="F84" t="s">
        <v>406</v>
      </c>
      <c r="G84" t="s">
        <v>406</v>
      </c>
      <c r="H84">
        <v>0.9999997615814209</v>
      </c>
    </row>
    <row r="85" spans="1:8" x14ac:dyDescent="0.3">
      <c r="A85" s="1">
        <v>83</v>
      </c>
      <c r="B85" t="s">
        <v>407</v>
      </c>
      <c r="C85" t="s">
        <v>408</v>
      </c>
      <c r="D85" t="s">
        <v>409</v>
      </c>
      <c r="E85">
        <v>0.66666666666666663</v>
      </c>
      <c r="F85" t="s">
        <v>410</v>
      </c>
      <c r="G85" t="s">
        <v>411</v>
      </c>
      <c r="H85">
        <v>0.62865197658538818</v>
      </c>
    </row>
    <row r="86" spans="1:8" x14ac:dyDescent="0.3">
      <c r="A86" s="1">
        <v>84</v>
      </c>
      <c r="B86" t="s">
        <v>412</v>
      </c>
      <c r="C86" t="s">
        <v>413</v>
      </c>
      <c r="D86" t="s">
        <v>414</v>
      </c>
      <c r="E86">
        <v>0.33333333333333331</v>
      </c>
      <c r="F86" t="s">
        <v>415</v>
      </c>
      <c r="G86" t="s">
        <v>416</v>
      </c>
      <c r="H86">
        <v>0.64542430639266968</v>
      </c>
    </row>
    <row r="87" spans="1:8" x14ac:dyDescent="0.3">
      <c r="A87" s="1">
        <v>85</v>
      </c>
      <c r="B87" t="s">
        <v>417</v>
      </c>
      <c r="C87" t="s">
        <v>418</v>
      </c>
      <c r="D87" t="s">
        <v>419</v>
      </c>
      <c r="E87">
        <v>1</v>
      </c>
      <c r="F87" t="s">
        <v>420</v>
      </c>
      <c r="G87" t="s">
        <v>421</v>
      </c>
      <c r="H87">
        <v>0.37523728609085077</v>
      </c>
    </row>
    <row r="88" spans="1:8" x14ac:dyDescent="0.3">
      <c r="A88" s="1">
        <v>86</v>
      </c>
      <c r="B88" t="s">
        <v>422</v>
      </c>
      <c r="C88" t="s">
        <v>423</v>
      </c>
      <c r="D88" t="s">
        <v>424</v>
      </c>
      <c r="E88">
        <v>0.25</v>
      </c>
      <c r="F88" t="s">
        <v>425</v>
      </c>
      <c r="G88" t="s">
        <v>425</v>
      </c>
      <c r="H88">
        <v>1.0000002384185791</v>
      </c>
    </row>
    <row r="89" spans="1:8" x14ac:dyDescent="0.3">
      <c r="A89" s="1">
        <v>87</v>
      </c>
      <c r="B89" t="s">
        <v>426</v>
      </c>
      <c r="C89" t="s">
        <v>427</v>
      </c>
      <c r="D89" t="s">
        <v>428</v>
      </c>
      <c r="E89">
        <v>0.2</v>
      </c>
      <c r="F89" t="s">
        <v>429</v>
      </c>
      <c r="G89" t="s">
        <v>430</v>
      </c>
      <c r="H89">
        <v>0.72023451328277588</v>
      </c>
    </row>
    <row r="90" spans="1:8" x14ac:dyDescent="0.3">
      <c r="A90" s="1">
        <v>88</v>
      </c>
      <c r="B90" t="s">
        <v>431</v>
      </c>
      <c r="C90" t="s">
        <v>432</v>
      </c>
      <c r="D90" t="s">
        <v>433</v>
      </c>
      <c r="E90">
        <v>0.8571428571428571</v>
      </c>
      <c r="F90" t="s">
        <v>434</v>
      </c>
      <c r="G90" t="s">
        <v>435</v>
      </c>
      <c r="H90">
        <v>4.7507055103778839E-2</v>
      </c>
    </row>
    <row r="91" spans="1:8" x14ac:dyDescent="0.3">
      <c r="A91" s="1">
        <v>89</v>
      </c>
      <c r="B91" t="s">
        <v>436</v>
      </c>
      <c r="C91" t="s">
        <v>437</v>
      </c>
      <c r="D91" t="s">
        <v>438</v>
      </c>
      <c r="E91">
        <v>0.8</v>
      </c>
      <c r="F91" t="s">
        <v>439</v>
      </c>
      <c r="G91" t="s">
        <v>440</v>
      </c>
      <c r="H91">
        <v>0.27129131555557251</v>
      </c>
    </row>
    <row r="92" spans="1:8" x14ac:dyDescent="0.3">
      <c r="A92" s="1">
        <v>90</v>
      </c>
      <c r="B92" t="s">
        <v>441</v>
      </c>
      <c r="C92" t="s">
        <v>442</v>
      </c>
      <c r="D92" t="s">
        <v>443</v>
      </c>
      <c r="E92">
        <v>0.8</v>
      </c>
      <c r="F92" t="s">
        <v>444</v>
      </c>
      <c r="G92" t="s">
        <v>445</v>
      </c>
      <c r="H92">
        <v>0.38401356339454651</v>
      </c>
    </row>
    <row r="93" spans="1:8" x14ac:dyDescent="0.3">
      <c r="A93" s="1">
        <v>91</v>
      </c>
      <c r="B93" t="s">
        <v>446</v>
      </c>
      <c r="C93" t="s">
        <v>447</v>
      </c>
      <c r="D93" t="s">
        <v>448</v>
      </c>
      <c r="E93">
        <v>0.5</v>
      </c>
      <c r="F93" t="s">
        <v>449</v>
      </c>
      <c r="G93" t="s">
        <v>450</v>
      </c>
      <c r="H93">
        <v>0.83618956804275513</v>
      </c>
    </row>
    <row r="94" spans="1:8" x14ac:dyDescent="0.3">
      <c r="A94" s="1">
        <v>92</v>
      </c>
      <c r="B94" t="s">
        <v>451</v>
      </c>
      <c r="C94" t="s">
        <v>452</v>
      </c>
      <c r="D94" t="s">
        <v>453</v>
      </c>
      <c r="E94">
        <v>1</v>
      </c>
      <c r="F94" t="s">
        <v>454</v>
      </c>
      <c r="G94" t="s">
        <v>455</v>
      </c>
      <c r="H94">
        <v>0.47174209356307978</v>
      </c>
    </row>
    <row r="95" spans="1:8" x14ac:dyDescent="0.3">
      <c r="A95" s="1">
        <v>93</v>
      </c>
      <c r="B95" t="s">
        <v>456</v>
      </c>
      <c r="C95" t="s">
        <v>457</v>
      </c>
      <c r="D95" t="s">
        <v>458</v>
      </c>
      <c r="E95">
        <v>0.625</v>
      </c>
      <c r="F95" t="s">
        <v>459</v>
      </c>
      <c r="G95" t="s">
        <v>460</v>
      </c>
      <c r="H95">
        <v>0.25295090675353998</v>
      </c>
    </row>
    <row r="96" spans="1:8" x14ac:dyDescent="0.3">
      <c r="A96" s="1">
        <v>94</v>
      </c>
      <c r="B96" t="s">
        <v>461</v>
      </c>
      <c r="C96" t="s">
        <v>462</v>
      </c>
      <c r="D96" t="s">
        <v>463</v>
      </c>
      <c r="E96">
        <v>0.66666666666666663</v>
      </c>
      <c r="F96" t="s">
        <v>464</v>
      </c>
      <c r="G96" t="s">
        <v>465</v>
      </c>
      <c r="H96">
        <v>0.43852174282073969</v>
      </c>
    </row>
    <row r="97" spans="1:8" x14ac:dyDescent="0.3">
      <c r="A97" s="1">
        <v>95</v>
      </c>
      <c r="B97" t="s">
        <v>466</v>
      </c>
      <c r="C97" t="s">
        <v>467</v>
      </c>
      <c r="D97" t="s">
        <v>468</v>
      </c>
      <c r="E97">
        <v>1</v>
      </c>
      <c r="F97" t="s">
        <v>469</v>
      </c>
      <c r="G97" t="s">
        <v>470</v>
      </c>
      <c r="H97">
        <v>0.32894977927207952</v>
      </c>
    </row>
    <row r="98" spans="1:8" x14ac:dyDescent="0.3">
      <c r="A98" s="1">
        <v>96</v>
      </c>
      <c r="B98" t="s">
        <v>471</v>
      </c>
      <c r="C98" t="s">
        <v>472</v>
      </c>
      <c r="D98" t="s">
        <v>473</v>
      </c>
      <c r="E98">
        <v>0.5</v>
      </c>
      <c r="F98" t="s">
        <v>474</v>
      </c>
      <c r="G98" t="s">
        <v>475</v>
      </c>
      <c r="H98">
        <v>0.52061766386032104</v>
      </c>
    </row>
    <row r="99" spans="1:8" x14ac:dyDescent="0.3">
      <c r="A99" s="1">
        <v>97</v>
      </c>
      <c r="B99" t="s">
        <v>476</v>
      </c>
      <c r="C99" t="s">
        <v>477</v>
      </c>
      <c r="D99" t="s">
        <v>477</v>
      </c>
      <c r="E99">
        <v>0</v>
      </c>
      <c r="F99" t="s">
        <v>478</v>
      </c>
      <c r="G99" t="s">
        <v>478</v>
      </c>
      <c r="H99">
        <v>1.00000011920929</v>
      </c>
    </row>
    <row r="100" spans="1:8" x14ac:dyDescent="0.3">
      <c r="A100" s="1">
        <v>98</v>
      </c>
      <c r="B100" t="s">
        <v>479</v>
      </c>
      <c r="C100" t="s">
        <v>480</v>
      </c>
      <c r="D100" t="s">
        <v>481</v>
      </c>
      <c r="E100">
        <v>0.75</v>
      </c>
      <c r="F100" t="s">
        <v>482</v>
      </c>
      <c r="G100" t="s">
        <v>483</v>
      </c>
      <c r="H100">
        <v>0.68903940916061401</v>
      </c>
    </row>
    <row r="101" spans="1:8" x14ac:dyDescent="0.3">
      <c r="A101" s="1">
        <v>99</v>
      </c>
      <c r="B101" t="s">
        <v>484</v>
      </c>
      <c r="C101" t="s">
        <v>485</v>
      </c>
      <c r="D101" t="s">
        <v>486</v>
      </c>
      <c r="E101">
        <v>0.33333333333333331</v>
      </c>
      <c r="F101" t="s">
        <v>487</v>
      </c>
      <c r="G101" t="s">
        <v>487</v>
      </c>
      <c r="H101">
        <v>1.00000011920929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7B75D-9BEA-4892-90D4-97FB807C6CC1}">
  <dimension ref="A1:H101"/>
  <sheetViews>
    <sheetView workbookViewId="0">
      <selection activeCell="F22" sqref="F22"/>
    </sheetView>
  </sheetViews>
  <sheetFormatPr defaultRowHeight="14.4" x14ac:dyDescent="0.3"/>
  <cols>
    <col min="2" max="2" width="31.21875" customWidth="1"/>
    <col min="3" max="3" width="18.109375" customWidth="1"/>
    <col min="4" max="4" width="20.109375" customWidth="1"/>
    <col min="5" max="5" width="15.33203125" customWidth="1"/>
    <col min="6" max="6" width="32" customWidth="1"/>
    <col min="7" max="7" width="38" customWidth="1"/>
    <col min="8" max="8" width="22.21875" customWidth="1"/>
  </cols>
  <sheetData>
    <row r="1" spans="1:8" x14ac:dyDescent="0.3">
      <c r="B1" s="1" t="s">
        <v>0</v>
      </c>
      <c r="C1" s="1" t="s">
        <v>1</v>
      </c>
      <c r="D1" s="1" t="s">
        <v>2</v>
      </c>
      <c r="E1" s="1" t="s">
        <v>3</v>
      </c>
      <c r="F1" s="1" t="s">
        <v>4</v>
      </c>
      <c r="G1" s="1" t="s">
        <v>5</v>
      </c>
      <c r="H1" s="1" t="s">
        <v>6</v>
      </c>
    </row>
    <row r="2" spans="1:8" x14ac:dyDescent="0.3">
      <c r="A2" s="1">
        <v>0</v>
      </c>
      <c r="B2" t="s">
        <v>7</v>
      </c>
      <c r="C2" t="s">
        <v>8</v>
      </c>
      <c r="D2" t="s">
        <v>488</v>
      </c>
      <c r="E2">
        <v>0.66666666666666663</v>
      </c>
      <c r="F2" t="s">
        <v>10</v>
      </c>
      <c r="G2" t="s">
        <v>489</v>
      </c>
      <c r="H2">
        <v>0.31530749797821039</v>
      </c>
    </row>
    <row r="3" spans="1:8" x14ac:dyDescent="0.3">
      <c r="A3" s="1">
        <v>1</v>
      </c>
      <c r="B3" t="s">
        <v>12</v>
      </c>
      <c r="C3" t="s">
        <v>13</v>
      </c>
      <c r="D3" t="s">
        <v>490</v>
      </c>
      <c r="E3">
        <v>0.66666666666666663</v>
      </c>
      <c r="F3" t="s">
        <v>15</v>
      </c>
      <c r="G3" t="s">
        <v>15</v>
      </c>
      <c r="H3">
        <v>1.0000002384185791</v>
      </c>
    </row>
    <row r="4" spans="1:8" x14ac:dyDescent="0.3">
      <c r="A4" s="1">
        <v>2</v>
      </c>
      <c r="B4" t="s">
        <v>17</v>
      </c>
      <c r="C4" t="s">
        <v>18</v>
      </c>
      <c r="D4" t="s">
        <v>18</v>
      </c>
      <c r="E4">
        <v>0</v>
      </c>
      <c r="F4" t="s">
        <v>20</v>
      </c>
      <c r="G4" t="s">
        <v>20</v>
      </c>
      <c r="H4">
        <v>1.0000002384185791</v>
      </c>
    </row>
    <row r="5" spans="1:8" x14ac:dyDescent="0.3">
      <c r="A5" s="1">
        <v>3</v>
      </c>
      <c r="B5" t="s">
        <v>22</v>
      </c>
      <c r="C5" t="s">
        <v>23</v>
      </c>
      <c r="D5" t="s">
        <v>491</v>
      </c>
      <c r="E5">
        <v>0.83333333333333337</v>
      </c>
      <c r="F5" t="s">
        <v>25</v>
      </c>
      <c r="G5" t="s">
        <v>492</v>
      </c>
      <c r="H5">
        <v>2.5657029822468761E-2</v>
      </c>
    </row>
    <row r="6" spans="1:8" x14ac:dyDescent="0.3">
      <c r="A6" s="1">
        <v>4</v>
      </c>
      <c r="B6" t="s">
        <v>27</v>
      </c>
      <c r="C6" t="s">
        <v>28</v>
      </c>
      <c r="D6" t="s">
        <v>28</v>
      </c>
      <c r="E6">
        <v>0</v>
      </c>
      <c r="F6" t="s">
        <v>30</v>
      </c>
      <c r="G6" t="s">
        <v>30</v>
      </c>
      <c r="H6">
        <v>1</v>
      </c>
    </row>
    <row r="7" spans="1:8" x14ac:dyDescent="0.3">
      <c r="A7" s="1">
        <v>5</v>
      </c>
      <c r="B7" t="s">
        <v>32</v>
      </c>
      <c r="C7" t="s">
        <v>33</v>
      </c>
      <c r="D7" t="s">
        <v>34</v>
      </c>
      <c r="E7">
        <v>0.2857142857142857</v>
      </c>
      <c r="F7" t="s">
        <v>35</v>
      </c>
      <c r="G7" t="s">
        <v>35</v>
      </c>
      <c r="H7">
        <v>1</v>
      </c>
    </row>
    <row r="8" spans="1:8" x14ac:dyDescent="0.3">
      <c r="A8" s="1">
        <v>6</v>
      </c>
      <c r="B8" t="s">
        <v>36</v>
      </c>
      <c r="C8" t="s">
        <v>37</v>
      </c>
      <c r="D8" t="s">
        <v>493</v>
      </c>
      <c r="E8">
        <v>1</v>
      </c>
      <c r="F8" t="s">
        <v>39</v>
      </c>
      <c r="G8" t="s">
        <v>494</v>
      </c>
      <c r="H8">
        <v>9.5533039420843124E-3</v>
      </c>
    </row>
    <row r="9" spans="1:8" x14ac:dyDescent="0.3">
      <c r="A9" s="1">
        <v>7</v>
      </c>
      <c r="B9" t="s">
        <v>40</v>
      </c>
      <c r="C9" t="s">
        <v>41</v>
      </c>
      <c r="D9" t="s">
        <v>41</v>
      </c>
      <c r="E9">
        <v>0</v>
      </c>
      <c r="F9" t="s">
        <v>43</v>
      </c>
      <c r="G9" t="s">
        <v>43</v>
      </c>
      <c r="H9">
        <v>0.99999994039535522</v>
      </c>
    </row>
    <row r="10" spans="1:8" x14ac:dyDescent="0.3">
      <c r="A10" s="1">
        <v>8</v>
      </c>
      <c r="B10" t="s">
        <v>45</v>
      </c>
      <c r="C10" t="s">
        <v>46</v>
      </c>
      <c r="D10" t="s">
        <v>495</v>
      </c>
      <c r="E10">
        <v>0.66666666666666663</v>
      </c>
      <c r="F10" t="s">
        <v>48</v>
      </c>
      <c r="G10" t="s">
        <v>496</v>
      </c>
      <c r="H10">
        <v>0.2176908552646637</v>
      </c>
    </row>
    <row r="11" spans="1:8" x14ac:dyDescent="0.3">
      <c r="A11" s="1">
        <v>9</v>
      </c>
      <c r="B11" t="s">
        <v>50</v>
      </c>
      <c r="C11" t="s">
        <v>51</v>
      </c>
      <c r="D11" t="s">
        <v>51</v>
      </c>
      <c r="E11">
        <v>0</v>
      </c>
      <c r="F11" t="s">
        <v>53</v>
      </c>
      <c r="G11" t="s">
        <v>53</v>
      </c>
      <c r="H11">
        <v>1.00000011920929</v>
      </c>
    </row>
    <row r="12" spans="1:8" x14ac:dyDescent="0.3">
      <c r="A12" s="1">
        <v>10</v>
      </c>
      <c r="B12" t="s">
        <v>55</v>
      </c>
      <c r="C12" t="s">
        <v>56</v>
      </c>
      <c r="D12" t="s">
        <v>497</v>
      </c>
      <c r="E12">
        <v>0.5</v>
      </c>
      <c r="F12" t="s">
        <v>58</v>
      </c>
      <c r="G12" t="s">
        <v>498</v>
      </c>
      <c r="H12">
        <v>0.9158700704574585</v>
      </c>
    </row>
    <row r="13" spans="1:8" x14ac:dyDescent="0.3">
      <c r="A13" s="1">
        <v>11</v>
      </c>
      <c r="B13" t="s">
        <v>60</v>
      </c>
      <c r="C13" t="s">
        <v>61</v>
      </c>
      <c r="D13" t="s">
        <v>61</v>
      </c>
      <c r="E13">
        <v>0</v>
      </c>
      <c r="F13" t="s">
        <v>63</v>
      </c>
      <c r="G13" t="s">
        <v>63</v>
      </c>
      <c r="H13">
        <v>1</v>
      </c>
    </row>
    <row r="14" spans="1:8" x14ac:dyDescent="0.3">
      <c r="A14" s="1">
        <v>12</v>
      </c>
      <c r="B14" t="s">
        <v>65</v>
      </c>
      <c r="C14" t="s">
        <v>66</v>
      </c>
      <c r="D14" t="s">
        <v>499</v>
      </c>
      <c r="E14">
        <v>0.5</v>
      </c>
      <c r="F14" t="s">
        <v>68</v>
      </c>
      <c r="G14" t="s">
        <v>68</v>
      </c>
      <c r="H14">
        <v>1.00000011920929</v>
      </c>
    </row>
    <row r="15" spans="1:8" x14ac:dyDescent="0.3">
      <c r="A15" s="1">
        <v>13</v>
      </c>
      <c r="B15" t="s">
        <v>70</v>
      </c>
      <c r="C15" t="s">
        <v>71</v>
      </c>
      <c r="D15" t="s">
        <v>71</v>
      </c>
      <c r="E15">
        <v>0</v>
      </c>
      <c r="F15" t="s">
        <v>73</v>
      </c>
      <c r="G15" t="s">
        <v>73</v>
      </c>
      <c r="H15">
        <v>1.00000011920929</v>
      </c>
    </row>
    <row r="16" spans="1:8" x14ac:dyDescent="0.3">
      <c r="A16" s="1">
        <v>14</v>
      </c>
      <c r="B16" t="s">
        <v>75</v>
      </c>
      <c r="C16" t="s">
        <v>76</v>
      </c>
      <c r="D16" t="s">
        <v>76</v>
      </c>
      <c r="E16">
        <v>0</v>
      </c>
      <c r="F16" t="s">
        <v>78</v>
      </c>
      <c r="G16" t="s">
        <v>78</v>
      </c>
      <c r="H16">
        <v>0.99999988079071045</v>
      </c>
    </row>
    <row r="17" spans="1:8" x14ac:dyDescent="0.3">
      <c r="A17" s="1">
        <v>15</v>
      </c>
      <c r="B17" t="s">
        <v>80</v>
      </c>
      <c r="C17" t="s">
        <v>81</v>
      </c>
      <c r="D17" t="s">
        <v>81</v>
      </c>
      <c r="E17">
        <v>0</v>
      </c>
      <c r="F17" t="s">
        <v>83</v>
      </c>
      <c r="G17" t="s">
        <v>83</v>
      </c>
      <c r="H17">
        <v>0.99999988079071045</v>
      </c>
    </row>
    <row r="18" spans="1:8" x14ac:dyDescent="0.3">
      <c r="A18" s="1">
        <v>16</v>
      </c>
      <c r="B18" t="s">
        <v>85</v>
      </c>
      <c r="C18" t="s">
        <v>86</v>
      </c>
      <c r="D18" t="s">
        <v>86</v>
      </c>
      <c r="E18">
        <v>0</v>
      </c>
      <c r="F18" t="s">
        <v>87</v>
      </c>
      <c r="G18" t="s">
        <v>87</v>
      </c>
      <c r="H18">
        <v>1.0000002384185791</v>
      </c>
    </row>
    <row r="19" spans="1:8" x14ac:dyDescent="0.3">
      <c r="A19" s="1">
        <v>17</v>
      </c>
      <c r="B19" t="s">
        <v>88</v>
      </c>
      <c r="C19" t="s">
        <v>89</v>
      </c>
      <c r="D19" t="s">
        <v>500</v>
      </c>
      <c r="E19">
        <v>0.4</v>
      </c>
      <c r="F19" t="s">
        <v>91</v>
      </c>
      <c r="G19" t="s">
        <v>91</v>
      </c>
      <c r="H19">
        <v>0.99999994039535522</v>
      </c>
    </row>
    <row r="20" spans="1:8" x14ac:dyDescent="0.3">
      <c r="A20" s="1">
        <v>18</v>
      </c>
      <c r="B20" t="s">
        <v>93</v>
      </c>
      <c r="C20" t="s">
        <v>94</v>
      </c>
      <c r="D20" t="s">
        <v>501</v>
      </c>
      <c r="E20">
        <v>0.25</v>
      </c>
      <c r="F20" t="s">
        <v>96</v>
      </c>
      <c r="G20" t="s">
        <v>502</v>
      </c>
      <c r="H20">
        <v>0.77473193407058716</v>
      </c>
    </row>
    <row r="21" spans="1:8" x14ac:dyDescent="0.3">
      <c r="A21" s="1">
        <v>19</v>
      </c>
      <c r="B21" t="s">
        <v>98</v>
      </c>
      <c r="C21" t="s">
        <v>99</v>
      </c>
      <c r="D21" t="s">
        <v>503</v>
      </c>
      <c r="E21">
        <v>1</v>
      </c>
      <c r="F21" t="s">
        <v>101</v>
      </c>
      <c r="G21" t="s">
        <v>504</v>
      </c>
      <c r="H21">
        <v>0.129649743437767</v>
      </c>
    </row>
    <row r="22" spans="1:8" x14ac:dyDescent="0.3">
      <c r="A22" s="1">
        <v>20</v>
      </c>
      <c r="B22" t="s">
        <v>103</v>
      </c>
      <c r="C22" t="s">
        <v>104</v>
      </c>
      <c r="D22" t="s">
        <v>505</v>
      </c>
      <c r="E22">
        <v>0.8571428571428571</v>
      </c>
      <c r="F22" t="s">
        <v>106</v>
      </c>
      <c r="G22" t="s">
        <v>506</v>
      </c>
      <c r="H22">
        <v>0.37579643726348883</v>
      </c>
    </row>
    <row r="23" spans="1:8" x14ac:dyDescent="0.3">
      <c r="A23" s="1">
        <v>21</v>
      </c>
      <c r="B23" t="s">
        <v>108</v>
      </c>
      <c r="C23" t="s">
        <v>109</v>
      </c>
      <c r="D23" t="s">
        <v>109</v>
      </c>
      <c r="E23">
        <v>0</v>
      </c>
      <c r="F23" t="s">
        <v>111</v>
      </c>
      <c r="G23" t="s">
        <v>111</v>
      </c>
      <c r="H23">
        <v>1.00000011920929</v>
      </c>
    </row>
    <row r="24" spans="1:8" x14ac:dyDescent="0.3">
      <c r="A24" s="1">
        <v>22</v>
      </c>
      <c r="B24" t="s">
        <v>113</v>
      </c>
      <c r="C24" t="s">
        <v>114</v>
      </c>
      <c r="D24" t="s">
        <v>114</v>
      </c>
      <c r="E24">
        <v>0</v>
      </c>
      <c r="F24" t="s">
        <v>116</v>
      </c>
      <c r="G24" t="s">
        <v>116</v>
      </c>
      <c r="H24">
        <v>0.9999997615814209</v>
      </c>
    </row>
    <row r="25" spans="1:8" x14ac:dyDescent="0.3">
      <c r="A25" s="1">
        <v>23</v>
      </c>
      <c r="B25" t="s">
        <v>118</v>
      </c>
      <c r="C25" t="s">
        <v>119</v>
      </c>
      <c r="D25" t="s">
        <v>507</v>
      </c>
      <c r="E25">
        <v>0.75</v>
      </c>
      <c r="F25" t="s">
        <v>121</v>
      </c>
      <c r="G25" t="s">
        <v>508</v>
      </c>
      <c r="H25">
        <v>0.74079340696334839</v>
      </c>
    </row>
    <row r="26" spans="1:8" x14ac:dyDescent="0.3">
      <c r="A26" s="1">
        <v>24</v>
      </c>
      <c r="B26" t="s">
        <v>123</v>
      </c>
      <c r="C26" t="s">
        <v>124</v>
      </c>
      <c r="D26" t="s">
        <v>509</v>
      </c>
      <c r="E26">
        <v>1</v>
      </c>
      <c r="F26" t="s">
        <v>126</v>
      </c>
      <c r="G26" t="s">
        <v>510</v>
      </c>
      <c r="H26">
        <v>0.11797945946455</v>
      </c>
    </row>
    <row r="27" spans="1:8" x14ac:dyDescent="0.3">
      <c r="A27" s="1">
        <v>25</v>
      </c>
      <c r="B27" t="s">
        <v>128</v>
      </c>
      <c r="C27" t="s">
        <v>129</v>
      </c>
      <c r="D27" t="s">
        <v>511</v>
      </c>
      <c r="E27">
        <v>0.2</v>
      </c>
      <c r="F27" t="s">
        <v>131</v>
      </c>
      <c r="G27" t="s">
        <v>512</v>
      </c>
      <c r="H27">
        <v>0.2430822551250458</v>
      </c>
    </row>
    <row r="28" spans="1:8" x14ac:dyDescent="0.3">
      <c r="A28" s="1">
        <v>26</v>
      </c>
      <c r="B28" t="s">
        <v>133</v>
      </c>
      <c r="C28" t="s">
        <v>134</v>
      </c>
      <c r="D28" t="s">
        <v>513</v>
      </c>
      <c r="E28">
        <v>0.75</v>
      </c>
      <c r="F28" t="s">
        <v>136</v>
      </c>
      <c r="G28" t="s">
        <v>514</v>
      </c>
      <c r="H28">
        <v>-3.4812513738870621E-2</v>
      </c>
    </row>
    <row r="29" spans="1:8" x14ac:dyDescent="0.3">
      <c r="A29" s="1">
        <v>27</v>
      </c>
      <c r="B29" t="s">
        <v>138</v>
      </c>
      <c r="C29" t="s">
        <v>139</v>
      </c>
      <c r="D29" t="s">
        <v>515</v>
      </c>
      <c r="E29">
        <v>0.66666666666666663</v>
      </c>
      <c r="F29" t="s">
        <v>141</v>
      </c>
      <c r="G29" t="s">
        <v>516</v>
      </c>
      <c r="H29">
        <v>0.67086195945739746</v>
      </c>
    </row>
    <row r="30" spans="1:8" x14ac:dyDescent="0.3">
      <c r="A30" s="1">
        <v>28</v>
      </c>
      <c r="B30" t="s">
        <v>143</v>
      </c>
      <c r="C30" t="s">
        <v>144</v>
      </c>
      <c r="D30" t="s">
        <v>517</v>
      </c>
      <c r="E30">
        <v>0.5</v>
      </c>
      <c r="F30" t="s">
        <v>146</v>
      </c>
      <c r="G30" t="s">
        <v>518</v>
      </c>
      <c r="H30">
        <v>0.54233396053314209</v>
      </c>
    </row>
    <row r="31" spans="1:8" x14ac:dyDescent="0.3">
      <c r="A31" s="1">
        <v>29</v>
      </c>
      <c r="B31" t="s">
        <v>148</v>
      </c>
      <c r="C31" t="s">
        <v>149</v>
      </c>
      <c r="D31" t="s">
        <v>519</v>
      </c>
      <c r="E31">
        <v>1.5</v>
      </c>
      <c r="F31" t="s">
        <v>151</v>
      </c>
      <c r="G31" t="s">
        <v>520</v>
      </c>
      <c r="H31">
        <v>0.13280749320983889</v>
      </c>
    </row>
    <row r="32" spans="1:8" x14ac:dyDescent="0.3">
      <c r="A32" s="1">
        <v>30</v>
      </c>
      <c r="B32" t="s">
        <v>153</v>
      </c>
      <c r="C32" t="s">
        <v>154</v>
      </c>
      <c r="D32" t="s">
        <v>154</v>
      </c>
      <c r="E32">
        <v>0</v>
      </c>
      <c r="F32" t="s">
        <v>155</v>
      </c>
      <c r="G32" t="s">
        <v>155</v>
      </c>
      <c r="H32">
        <v>1.00000011920929</v>
      </c>
    </row>
    <row r="33" spans="1:8" x14ac:dyDescent="0.3">
      <c r="A33" s="1">
        <v>31</v>
      </c>
      <c r="B33" t="s">
        <v>156</v>
      </c>
      <c r="C33" t="s">
        <v>157</v>
      </c>
      <c r="D33" t="s">
        <v>157</v>
      </c>
      <c r="E33">
        <v>0</v>
      </c>
      <c r="F33" t="s">
        <v>159</v>
      </c>
      <c r="G33" t="s">
        <v>159</v>
      </c>
      <c r="H33">
        <v>1</v>
      </c>
    </row>
    <row r="34" spans="1:8" x14ac:dyDescent="0.3">
      <c r="A34" s="1">
        <v>32</v>
      </c>
      <c r="B34" t="s">
        <v>161</v>
      </c>
      <c r="C34" t="s">
        <v>162</v>
      </c>
      <c r="D34" t="s">
        <v>521</v>
      </c>
      <c r="E34">
        <v>1</v>
      </c>
      <c r="F34" t="s">
        <v>164</v>
      </c>
      <c r="G34" t="s">
        <v>522</v>
      </c>
      <c r="H34">
        <v>0.62342619895935059</v>
      </c>
    </row>
    <row r="35" spans="1:8" x14ac:dyDescent="0.3">
      <c r="A35" s="1">
        <v>33</v>
      </c>
      <c r="B35" t="s">
        <v>166</v>
      </c>
      <c r="C35" t="s">
        <v>167</v>
      </c>
      <c r="D35" t="s">
        <v>523</v>
      </c>
      <c r="E35">
        <v>0.14285714285714279</v>
      </c>
      <c r="F35" t="s">
        <v>169</v>
      </c>
      <c r="G35" t="s">
        <v>169</v>
      </c>
      <c r="H35">
        <v>0.99999988079071045</v>
      </c>
    </row>
    <row r="36" spans="1:8" x14ac:dyDescent="0.3">
      <c r="A36" s="1">
        <v>34</v>
      </c>
      <c r="B36" t="s">
        <v>171</v>
      </c>
      <c r="C36" t="s">
        <v>172</v>
      </c>
      <c r="D36" t="s">
        <v>172</v>
      </c>
      <c r="E36">
        <v>0</v>
      </c>
      <c r="F36" t="s">
        <v>174</v>
      </c>
      <c r="G36" t="s">
        <v>174</v>
      </c>
      <c r="H36">
        <v>0.99999988079071045</v>
      </c>
    </row>
    <row r="37" spans="1:8" x14ac:dyDescent="0.3">
      <c r="A37" s="1">
        <v>35</v>
      </c>
      <c r="B37" t="s">
        <v>176</v>
      </c>
      <c r="C37" t="s">
        <v>177</v>
      </c>
      <c r="D37" t="s">
        <v>177</v>
      </c>
      <c r="E37">
        <v>0</v>
      </c>
      <c r="F37" t="s">
        <v>179</v>
      </c>
      <c r="G37" t="s">
        <v>179</v>
      </c>
      <c r="H37">
        <v>0.99999988079071045</v>
      </c>
    </row>
    <row r="38" spans="1:8" x14ac:dyDescent="0.3">
      <c r="A38" s="1">
        <v>36</v>
      </c>
      <c r="B38" t="s">
        <v>181</v>
      </c>
      <c r="C38" t="s">
        <v>182</v>
      </c>
      <c r="D38" t="s">
        <v>524</v>
      </c>
      <c r="E38">
        <v>0.66666666666666663</v>
      </c>
      <c r="F38" t="s">
        <v>184</v>
      </c>
      <c r="G38" t="s">
        <v>525</v>
      </c>
      <c r="H38">
        <v>0.32589805126190191</v>
      </c>
    </row>
    <row r="39" spans="1:8" x14ac:dyDescent="0.3">
      <c r="A39" s="1">
        <v>37</v>
      </c>
      <c r="B39" t="s">
        <v>186</v>
      </c>
      <c r="C39" t="s">
        <v>187</v>
      </c>
      <c r="D39" t="s">
        <v>187</v>
      </c>
      <c r="E39">
        <v>0</v>
      </c>
      <c r="F39" t="s">
        <v>189</v>
      </c>
      <c r="G39" t="s">
        <v>189</v>
      </c>
      <c r="H39">
        <v>1.00000011920929</v>
      </c>
    </row>
    <row r="40" spans="1:8" x14ac:dyDescent="0.3">
      <c r="A40" s="1">
        <v>38</v>
      </c>
      <c r="B40" t="s">
        <v>191</v>
      </c>
      <c r="C40" t="s">
        <v>192</v>
      </c>
      <c r="D40" t="s">
        <v>192</v>
      </c>
      <c r="E40">
        <v>0</v>
      </c>
      <c r="F40" t="s">
        <v>194</v>
      </c>
      <c r="G40" t="s">
        <v>194</v>
      </c>
      <c r="H40">
        <v>1</v>
      </c>
    </row>
    <row r="41" spans="1:8" x14ac:dyDescent="0.3">
      <c r="A41" s="1">
        <v>39</v>
      </c>
      <c r="B41" t="s">
        <v>196</v>
      </c>
      <c r="C41" t="s">
        <v>197</v>
      </c>
      <c r="D41" t="s">
        <v>526</v>
      </c>
      <c r="E41">
        <v>0.25</v>
      </c>
      <c r="F41" t="s">
        <v>199</v>
      </c>
      <c r="G41" t="s">
        <v>527</v>
      </c>
      <c r="H41">
        <v>0.9838874340057373</v>
      </c>
    </row>
    <row r="42" spans="1:8" x14ac:dyDescent="0.3">
      <c r="A42" s="1">
        <v>40</v>
      </c>
      <c r="B42" t="s">
        <v>201</v>
      </c>
      <c r="C42" t="s">
        <v>202</v>
      </c>
      <c r="D42" t="s">
        <v>202</v>
      </c>
      <c r="E42">
        <v>0</v>
      </c>
      <c r="F42" t="s">
        <v>204</v>
      </c>
      <c r="G42" t="s">
        <v>204</v>
      </c>
      <c r="H42">
        <v>1</v>
      </c>
    </row>
    <row r="43" spans="1:8" x14ac:dyDescent="0.3">
      <c r="A43" s="1">
        <v>41</v>
      </c>
      <c r="B43" t="s">
        <v>206</v>
      </c>
      <c r="C43" t="s">
        <v>207</v>
      </c>
      <c r="D43" t="s">
        <v>207</v>
      </c>
      <c r="E43">
        <v>0</v>
      </c>
      <c r="F43" t="s">
        <v>209</v>
      </c>
      <c r="G43" t="s">
        <v>209</v>
      </c>
      <c r="H43">
        <v>0.99999988079071045</v>
      </c>
    </row>
    <row r="44" spans="1:8" x14ac:dyDescent="0.3">
      <c r="A44" s="1">
        <v>42</v>
      </c>
      <c r="B44" t="s">
        <v>211</v>
      </c>
      <c r="C44" t="s">
        <v>212</v>
      </c>
      <c r="D44" t="s">
        <v>212</v>
      </c>
      <c r="E44">
        <v>0</v>
      </c>
      <c r="F44" t="s">
        <v>214</v>
      </c>
      <c r="G44" t="s">
        <v>214</v>
      </c>
      <c r="H44">
        <v>1.0000002384185791</v>
      </c>
    </row>
    <row r="45" spans="1:8" x14ac:dyDescent="0.3">
      <c r="A45" s="1">
        <v>43</v>
      </c>
      <c r="B45" t="s">
        <v>216</v>
      </c>
      <c r="C45" t="s">
        <v>217</v>
      </c>
      <c r="D45" t="s">
        <v>528</v>
      </c>
      <c r="E45">
        <v>0.16666666666666671</v>
      </c>
      <c r="F45" t="s">
        <v>219</v>
      </c>
      <c r="G45" t="s">
        <v>529</v>
      </c>
      <c r="H45">
        <v>0.98609328269958496</v>
      </c>
    </row>
    <row r="46" spans="1:8" x14ac:dyDescent="0.3">
      <c r="A46" s="1">
        <v>44</v>
      </c>
      <c r="B46" t="s">
        <v>221</v>
      </c>
      <c r="C46" t="s">
        <v>222</v>
      </c>
      <c r="D46" t="s">
        <v>530</v>
      </c>
      <c r="E46">
        <v>0.5</v>
      </c>
      <c r="F46" t="s">
        <v>224</v>
      </c>
      <c r="G46" t="s">
        <v>531</v>
      </c>
      <c r="H46">
        <v>0.28415319323539728</v>
      </c>
    </row>
    <row r="47" spans="1:8" x14ac:dyDescent="0.3">
      <c r="A47" s="1">
        <v>45</v>
      </c>
      <c r="B47" t="s">
        <v>226</v>
      </c>
      <c r="C47" t="s">
        <v>227</v>
      </c>
      <c r="D47" t="s">
        <v>532</v>
      </c>
      <c r="E47">
        <v>0.16666666666666671</v>
      </c>
      <c r="F47" t="s">
        <v>229</v>
      </c>
      <c r="G47" t="s">
        <v>229</v>
      </c>
      <c r="H47">
        <v>0.99999988079071045</v>
      </c>
    </row>
    <row r="48" spans="1:8" x14ac:dyDescent="0.3">
      <c r="A48" s="1">
        <v>46</v>
      </c>
      <c r="B48" t="s">
        <v>231</v>
      </c>
      <c r="C48" t="s">
        <v>232</v>
      </c>
      <c r="D48" t="s">
        <v>232</v>
      </c>
      <c r="E48">
        <v>0</v>
      </c>
      <c r="F48" t="s">
        <v>234</v>
      </c>
      <c r="G48" t="s">
        <v>234</v>
      </c>
      <c r="H48">
        <v>0.99999988079071045</v>
      </c>
    </row>
    <row r="49" spans="1:8" x14ac:dyDescent="0.3">
      <c r="A49" s="1">
        <v>47</v>
      </c>
      <c r="B49" t="s">
        <v>236</v>
      </c>
      <c r="C49" t="s">
        <v>237</v>
      </c>
      <c r="D49" t="s">
        <v>237</v>
      </c>
      <c r="E49">
        <v>0</v>
      </c>
      <c r="F49" t="s">
        <v>239</v>
      </c>
      <c r="G49" t="s">
        <v>239</v>
      </c>
      <c r="H49">
        <v>0.99999982118606567</v>
      </c>
    </row>
    <row r="50" spans="1:8" x14ac:dyDescent="0.3">
      <c r="A50" s="1">
        <v>48</v>
      </c>
      <c r="B50" t="s">
        <v>241</v>
      </c>
      <c r="C50" t="s">
        <v>242</v>
      </c>
      <c r="D50" t="s">
        <v>533</v>
      </c>
      <c r="E50">
        <v>0.1111111111111111</v>
      </c>
      <c r="F50" t="s">
        <v>244</v>
      </c>
      <c r="G50" t="s">
        <v>244</v>
      </c>
      <c r="H50">
        <v>1.00000011920929</v>
      </c>
    </row>
    <row r="51" spans="1:8" x14ac:dyDescent="0.3">
      <c r="A51" s="1">
        <v>49</v>
      </c>
      <c r="B51" t="s">
        <v>246</v>
      </c>
      <c r="C51" t="s">
        <v>247</v>
      </c>
      <c r="D51" t="s">
        <v>247</v>
      </c>
      <c r="E51">
        <v>0</v>
      </c>
      <c r="F51" t="s">
        <v>249</v>
      </c>
      <c r="G51" t="s">
        <v>249</v>
      </c>
      <c r="H51">
        <v>1.00000011920929</v>
      </c>
    </row>
    <row r="52" spans="1:8" x14ac:dyDescent="0.3">
      <c r="A52" s="1">
        <v>50</v>
      </c>
      <c r="B52" t="s">
        <v>251</v>
      </c>
      <c r="C52" t="s">
        <v>252</v>
      </c>
      <c r="D52" t="s">
        <v>252</v>
      </c>
      <c r="E52">
        <v>0</v>
      </c>
      <c r="F52" t="s">
        <v>254</v>
      </c>
      <c r="G52" t="s">
        <v>254</v>
      </c>
      <c r="H52">
        <v>0.99999988079071045</v>
      </c>
    </row>
    <row r="53" spans="1:8" x14ac:dyDescent="0.3">
      <c r="A53" s="1">
        <v>51</v>
      </c>
      <c r="B53" t="s">
        <v>256</v>
      </c>
      <c r="C53" t="s">
        <v>257</v>
      </c>
      <c r="D53" t="s">
        <v>534</v>
      </c>
      <c r="E53">
        <v>0.5</v>
      </c>
      <c r="F53" t="s">
        <v>259</v>
      </c>
      <c r="G53" t="s">
        <v>259</v>
      </c>
      <c r="H53">
        <v>1.0000002384185791</v>
      </c>
    </row>
    <row r="54" spans="1:8" x14ac:dyDescent="0.3">
      <c r="A54" s="1">
        <v>52</v>
      </c>
      <c r="B54" t="s">
        <v>261</v>
      </c>
      <c r="C54" t="s">
        <v>262</v>
      </c>
      <c r="D54" t="s">
        <v>262</v>
      </c>
      <c r="E54">
        <v>0</v>
      </c>
      <c r="F54" t="s">
        <v>264</v>
      </c>
      <c r="G54" t="s">
        <v>264</v>
      </c>
      <c r="H54">
        <v>1.0000002384185791</v>
      </c>
    </row>
    <row r="55" spans="1:8" x14ac:dyDescent="0.3">
      <c r="A55" s="1">
        <v>53</v>
      </c>
      <c r="B55" t="s">
        <v>265</v>
      </c>
      <c r="C55" t="s">
        <v>266</v>
      </c>
      <c r="D55" t="s">
        <v>535</v>
      </c>
      <c r="E55">
        <v>0.2857142857142857</v>
      </c>
      <c r="F55" t="s">
        <v>268</v>
      </c>
      <c r="G55" t="s">
        <v>268</v>
      </c>
      <c r="H55">
        <v>1</v>
      </c>
    </row>
    <row r="56" spans="1:8" x14ac:dyDescent="0.3">
      <c r="A56" s="1">
        <v>54</v>
      </c>
      <c r="B56" t="s">
        <v>270</v>
      </c>
      <c r="C56" t="s">
        <v>271</v>
      </c>
      <c r="D56" t="s">
        <v>536</v>
      </c>
      <c r="E56">
        <v>0.75</v>
      </c>
      <c r="F56" t="s">
        <v>273</v>
      </c>
      <c r="G56" t="s">
        <v>273</v>
      </c>
      <c r="H56">
        <v>1</v>
      </c>
    </row>
    <row r="57" spans="1:8" x14ac:dyDescent="0.3">
      <c r="A57" s="1">
        <v>55</v>
      </c>
      <c r="B57" t="s">
        <v>275</v>
      </c>
      <c r="C57" t="s">
        <v>276</v>
      </c>
      <c r="D57" t="s">
        <v>537</v>
      </c>
      <c r="E57">
        <v>0.2</v>
      </c>
      <c r="F57" t="s">
        <v>278</v>
      </c>
      <c r="G57" t="s">
        <v>538</v>
      </c>
      <c r="H57">
        <v>0.91474443674087524</v>
      </c>
    </row>
    <row r="58" spans="1:8" x14ac:dyDescent="0.3">
      <c r="A58" s="1">
        <v>56</v>
      </c>
      <c r="B58" t="s">
        <v>280</v>
      </c>
      <c r="C58" t="s">
        <v>281</v>
      </c>
      <c r="D58" t="s">
        <v>281</v>
      </c>
      <c r="E58">
        <v>0</v>
      </c>
      <c r="F58" t="s">
        <v>283</v>
      </c>
      <c r="G58" t="s">
        <v>283</v>
      </c>
      <c r="H58">
        <v>0.99999988079071045</v>
      </c>
    </row>
    <row r="59" spans="1:8" x14ac:dyDescent="0.3">
      <c r="A59" s="1">
        <v>57</v>
      </c>
      <c r="B59" t="s">
        <v>285</v>
      </c>
      <c r="C59" t="s">
        <v>286</v>
      </c>
      <c r="D59" t="s">
        <v>539</v>
      </c>
      <c r="E59">
        <v>0.46153846153846162</v>
      </c>
      <c r="F59" t="s">
        <v>288</v>
      </c>
      <c r="G59" t="s">
        <v>540</v>
      </c>
      <c r="H59">
        <v>0.51742255687713623</v>
      </c>
    </row>
    <row r="60" spans="1:8" x14ac:dyDescent="0.3">
      <c r="A60" s="1">
        <v>58</v>
      </c>
      <c r="B60" t="s">
        <v>290</v>
      </c>
      <c r="C60" t="s">
        <v>291</v>
      </c>
      <c r="D60" t="s">
        <v>541</v>
      </c>
      <c r="E60">
        <v>0.25</v>
      </c>
      <c r="F60" t="s">
        <v>293</v>
      </c>
      <c r="G60" t="s">
        <v>293</v>
      </c>
      <c r="H60">
        <v>0.99999994039535522</v>
      </c>
    </row>
    <row r="61" spans="1:8" x14ac:dyDescent="0.3">
      <c r="A61" s="1">
        <v>59</v>
      </c>
      <c r="B61" t="s">
        <v>295</v>
      </c>
      <c r="C61" t="s">
        <v>296</v>
      </c>
      <c r="D61" t="s">
        <v>542</v>
      </c>
      <c r="E61">
        <v>0.66666666666666663</v>
      </c>
      <c r="F61" t="s">
        <v>298</v>
      </c>
      <c r="G61" t="s">
        <v>543</v>
      </c>
      <c r="H61">
        <v>0.6374351978302002</v>
      </c>
    </row>
    <row r="62" spans="1:8" x14ac:dyDescent="0.3">
      <c r="A62" s="1">
        <v>60</v>
      </c>
      <c r="B62" t="s">
        <v>300</v>
      </c>
      <c r="C62" t="s">
        <v>301</v>
      </c>
      <c r="D62" t="s">
        <v>544</v>
      </c>
      <c r="E62">
        <v>0.42857142857142849</v>
      </c>
      <c r="F62" t="s">
        <v>303</v>
      </c>
      <c r="G62" t="s">
        <v>303</v>
      </c>
      <c r="H62">
        <v>1.0000002384185791</v>
      </c>
    </row>
    <row r="63" spans="1:8" x14ac:dyDescent="0.3">
      <c r="A63" s="1">
        <v>61</v>
      </c>
      <c r="B63" t="s">
        <v>305</v>
      </c>
      <c r="C63" t="s">
        <v>306</v>
      </c>
      <c r="D63" t="s">
        <v>306</v>
      </c>
      <c r="E63">
        <v>0</v>
      </c>
      <c r="F63" t="s">
        <v>308</v>
      </c>
      <c r="G63" t="s">
        <v>308</v>
      </c>
      <c r="H63">
        <v>0.99999988079071045</v>
      </c>
    </row>
    <row r="64" spans="1:8" x14ac:dyDescent="0.3">
      <c r="A64" s="1">
        <v>62</v>
      </c>
      <c r="B64" t="s">
        <v>310</v>
      </c>
      <c r="C64" t="s">
        <v>227</v>
      </c>
      <c r="D64" t="s">
        <v>227</v>
      </c>
      <c r="E64">
        <v>0</v>
      </c>
      <c r="F64" t="s">
        <v>229</v>
      </c>
      <c r="G64" t="s">
        <v>229</v>
      </c>
      <c r="H64">
        <v>0.99999988079071045</v>
      </c>
    </row>
    <row r="65" spans="1:8" x14ac:dyDescent="0.3">
      <c r="A65" s="1">
        <v>63</v>
      </c>
      <c r="B65" t="s">
        <v>312</v>
      </c>
      <c r="C65" t="s">
        <v>313</v>
      </c>
      <c r="D65" t="s">
        <v>545</v>
      </c>
      <c r="E65">
        <v>0.66666666666666663</v>
      </c>
      <c r="F65" t="s">
        <v>315</v>
      </c>
      <c r="G65" t="s">
        <v>546</v>
      </c>
      <c r="H65">
        <v>0.54131197929382324</v>
      </c>
    </row>
    <row r="66" spans="1:8" x14ac:dyDescent="0.3">
      <c r="A66" s="1">
        <v>64</v>
      </c>
      <c r="B66" t="s">
        <v>317</v>
      </c>
      <c r="C66" t="s">
        <v>318</v>
      </c>
      <c r="D66" t="s">
        <v>547</v>
      </c>
      <c r="E66">
        <v>0.2</v>
      </c>
      <c r="F66" t="s">
        <v>320</v>
      </c>
      <c r="G66" t="s">
        <v>548</v>
      </c>
      <c r="H66">
        <v>0.34681832790374761</v>
      </c>
    </row>
    <row r="67" spans="1:8" x14ac:dyDescent="0.3">
      <c r="A67" s="1">
        <v>65</v>
      </c>
      <c r="B67" t="s">
        <v>322</v>
      </c>
      <c r="C67" t="s">
        <v>323</v>
      </c>
      <c r="D67" t="s">
        <v>549</v>
      </c>
      <c r="E67">
        <v>0.2</v>
      </c>
      <c r="F67" t="s">
        <v>325</v>
      </c>
      <c r="G67" t="s">
        <v>550</v>
      </c>
      <c r="H67">
        <v>0.68062788248062134</v>
      </c>
    </row>
    <row r="68" spans="1:8" x14ac:dyDescent="0.3">
      <c r="A68" s="1">
        <v>66</v>
      </c>
      <c r="B68" t="s">
        <v>327</v>
      </c>
      <c r="C68" t="s">
        <v>328</v>
      </c>
      <c r="D68" t="s">
        <v>551</v>
      </c>
      <c r="E68">
        <v>0.1</v>
      </c>
      <c r="F68" t="s">
        <v>330</v>
      </c>
      <c r="G68" t="s">
        <v>552</v>
      </c>
      <c r="H68">
        <v>0.92965793609619141</v>
      </c>
    </row>
    <row r="69" spans="1:8" x14ac:dyDescent="0.3">
      <c r="A69" s="1">
        <v>67</v>
      </c>
      <c r="B69" t="s">
        <v>332</v>
      </c>
      <c r="C69" t="s">
        <v>333</v>
      </c>
      <c r="D69" t="s">
        <v>333</v>
      </c>
      <c r="E69">
        <v>0</v>
      </c>
      <c r="F69" t="s">
        <v>335</v>
      </c>
      <c r="G69" t="s">
        <v>335</v>
      </c>
      <c r="H69">
        <v>1.00000011920929</v>
      </c>
    </row>
    <row r="70" spans="1:8" x14ac:dyDescent="0.3">
      <c r="A70" s="1">
        <v>68</v>
      </c>
      <c r="B70" t="s">
        <v>337</v>
      </c>
      <c r="C70" t="s">
        <v>338</v>
      </c>
      <c r="D70" t="s">
        <v>338</v>
      </c>
      <c r="E70">
        <v>0</v>
      </c>
      <c r="F70" t="s">
        <v>340</v>
      </c>
      <c r="G70" t="s">
        <v>340</v>
      </c>
      <c r="H70">
        <v>0.99999994039535522</v>
      </c>
    </row>
    <row r="71" spans="1:8" x14ac:dyDescent="0.3">
      <c r="A71" s="1">
        <v>69</v>
      </c>
      <c r="B71" t="s">
        <v>342</v>
      </c>
      <c r="C71" t="s">
        <v>343</v>
      </c>
      <c r="D71" t="s">
        <v>343</v>
      </c>
      <c r="E71">
        <v>0</v>
      </c>
      <c r="F71" t="s">
        <v>345</v>
      </c>
      <c r="G71" t="s">
        <v>345</v>
      </c>
      <c r="H71">
        <v>1.00000011920929</v>
      </c>
    </row>
    <row r="72" spans="1:8" x14ac:dyDescent="0.3">
      <c r="A72" s="1">
        <v>70</v>
      </c>
      <c r="B72" t="s">
        <v>347</v>
      </c>
      <c r="C72" t="s">
        <v>348</v>
      </c>
      <c r="D72" t="s">
        <v>553</v>
      </c>
      <c r="E72">
        <v>0.42857142857142849</v>
      </c>
      <c r="F72" t="s">
        <v>350</v>
      </c>
      <c r="G72" t="s">
        <v>351</v>
      </c>
      <c r="H72">
        <v>0.72383338212966919</v>
      </c>
    </row>
    <row r="73" spans="1:8" x14ac:dyDescent="0.3">
      <c r="A73" s="1">
        <v>71</v>
      </c>
      <c r="B73" t="s">
        <v>352</v>
      </c>
      <c r="C73" t="s">
        <v>353</v>
      </c>
      <c r="D73" t="s">
        <v>353</v>
      </c>
      <c r="E73">
        <v>0</v>
      </c>
      <c r="F73" t="s">
        <v>355</v>
      </c>
      <c r="G73" t="s">
        <v>355</v>
      </c>
      <c r="H73">
        <v>1.00000011920929</v>
      </c>
    </row>
    <row r="74" spans="1:8" x14ac:dyDescent="0.3">
      <c r="A74" s="1">
        <v>72</v>
      </c>
      <c r="B74" t="s">
        <v>357</v>
      </c>
      <c r="C74" t="s">
        <v>358</v>
      </c>
      <c r="D74" t="s">
        <v>358</v>
      </c>
      <c r="E74">
        <v>0</v>
      </c>
      <c r="F74" t="s">
        <v>359</v>
      </c>
      <c r="G74" t="s">
        <v>359</v>
      </c>
      <c r="H74">
        <v>1.00000011920929</v>
      </c>
    </row>
    <row r="75" spans="1:8" x14ac:dyDescent="0.3">
      <c r="A75" s="1">
        <v>73</v>
      </c>
      <c r="B75" t="s">
        <v>360</v>
      </c>
      <c r="C75" t="s">
        <v>361</v>
      </c>
      <c r="D75" t="s">
        <v>361</v>
      </c>
      <c r="E75">
        <v>0</v>
      </c>
      <c r="F75" t="s">
        <v>363</v>
      </c>
      <c r="G75" t="s">
        <v>363</v>
      </c>
      <c r="H75">
        <v>1</v>
      </c>
    </row>
    <row r="76" spans="1:8" x14ac:dyDescent="0.3">
      <c r="A76" s="1">
        <v>74</v>
      </c>
      <c r="B76" t="s">
        <v>365</v>
      </c>
      <c r="C76" t="s">
        <v>366</v>
      </c>
      <c r="D76" t="s">
        <v>366</v>
      </c>
      <c r="E76">
        <v>0</v>
      </c>
      <c r="F76" t="s">
        <v>368</v>
      </c>
      <c r="G76" t="s">
        <v>368</v>
      </c>
      <c r="H76">
        <v>1</v>
      </c>
    </row>
    <row r="77" spans="1:8" x14ac:dyDescent="0.3">
      <c r="A77" s="1">
        <v>75</v>
      </c>
      <c r="B77" t="s">
        <v>370</v>
      </c>
      <c r="C77" t="s">
        <v>371</v>
      </c>
      <c r="D77" t="s">
        <v>371</v>
      </c>
      <c r="E77">
        <v>0</v>
      </c>
      <c r="F77" t="s">
        <v>373</v>
      </c>
      <c r="G77" t="s">
        <v>373</v>
      </c>
      <c r="H77">
        <v>1</v>
      </c>
    </row>
    <row r="78" spans="1:8" x14ac:dyDescent="0.3">
      <c r="A78" s="1">
        <v>76</v>
      </c>
      <c r="B78" t="s">
        <v>375</v>
      </c>
      <c r="C78" t="s">
        <v>376</v>
      </c>
      <c r="D78" t="s">
        <v>554</v>
      </c>
      <c r="E78">
        <v>0.75</v>
      </c>
      <c r="F78" t="s">
        <v>378</v>
      </c>
      <c r="G78" t="s">
        <v>555</v>
      </c>
      <c r="H78">
        <v>0.51466172933578491</v>
      </c>
    </row>
    <row r="79" spans="1:8" x14ac:dyDescent="0.3">
      <c r="A79" s="1">
        <v>77</v>
      </c>
      <c r="B79" t="s">
        <v>380</v>
      </c>
      <c r="C79" t="s">
        <v>381</v>
      </c>
      <c r="D79" t="s">
        <v>556</v>
      </c>
      <c r="E79">
        <v>1</v>
      </c>
      <c r="F79" t="s">
        <v>383</v>
      </c>
      <c r="G79" t="s">
        <v>557</v>
      </c>
      <c r="H79">
        <v>7.7558375895023346E-2</v>
      </c>
    </row>
    <row r="80" spans="1:8" x14ac:dyDescent="0.3">
      <c r="A80" s="1">
        <v>78</v>
      </c>
      <c r="B80" t="s">
        <v>385</v>
      </c>
      <c r="C80" t="s">
        <v>386</v>
      </c>
      <c r="D80" t="s">
        <v>386</v>
      </c>
      <c r="E80">
        <v>0</v>
      </c>
      <c r="F80" t="s">
        <v>388</v>
      </c>
      <c r="G80" t="s">
        <v>388</v>
      </c>
      <c r="H80">
        <v>0.99999994039535522</v>
      </c>
    </row>
    <row r="81" spans="1:8" x14ac:dyDescent="0.3">
      <c r="A81" s="1">
        <v>79</v>
      </c>
      <c r="B81" t="s">
        <v>390</v>
      </c>
      <c r="C81" t="s">
        <v>391</v>
      </c>
      <c r="D81" t="s">
        <v>558</v>
      </c>
      <c r="E81">
        <v>1</v>
      </c>
      <c r="F81" t="s">
        <v>393</v>
      </c>
      <c r="G81" t="s">
        <v>559</v>
      </c>
      <c r="H81">
        <v>0.1288997828960419</v>
      </c>
    </row>
    <row r="82" spans="1:8" x14ac:dyDescent="0.3">
      <c r="A82" s="1">
        <v>80</v>
      </c>
      <c r="B82" t="s">
        <v>395</v>
      </c>
      <c r="C82" t="s">
        <v>396</v>
      </c>
      <c r="D82" t="s">
        <v>560</v>
      </c>
      <c r="E82">
        <v>0.66666666666666663</v>
      </c>
      <c r="F82" t="s">
        <v>398</v>
      </c>
      <c r="G82" t="s">
        <v>398</v>
      </c>
      <c r="H82">
        <v>1</v>
      </c>
    </row>
    <row r="83" spans="1:8" x14ac:dyDescent="0.3">
      <c r="A83" s="1">
        <v>81</v>
      </c>
      <c r="B83" t="s">
        <v>399</v>
      </c>
      <c r="C83" t="s">
        <v>400</v>
      </c>
      <c r="D83" t="s">
        <v>561</v>
      </c>
      <c r="E83">
        <v>0.14285714285714279</v>
      </c>
      <c r="F83" t="s">
        <v>402</v>
      </c>
      <c r="G83" t="s">
        <v>562</v>
      </c>
      <c r="H83">
        <v>0.45813319087028498</v>
      </c>
    </row>
    <row r="84" spans="1:8" x14ac:dyDescent="0.3">
      <c r="A84" s="1">
        <v>82</v>
      </c>
      <c r="B84" t="s">
        <v>404</v>
      </c>
      <c r="C84" t="s">
        <v>405</v>
      </c>
      <c r="D84" t="s">
        <v>563</v>
      </c>
      <c r="E84">
        <v>0.25</v>
      </c>
      <c r="F84" t="s">
        <v>406</v>
      </c>
      <c r="G84" t="s">
        <v>406</v>
      </c>
      <c r="H84">
        <v>0.9999997615814209</v>
      </c>
    </row>
    <row r="85" spans="1:8" x14ac:dyDescent="0.3">
      <c r="A85" s="1">
        <v>83</v>
      </c>
      <c r="B85" t="s">
        <v>407</v>
      </c>
      <c r="C85" t="s">
        <v>408</v>
      </c>
      <c r="D85" t="s">
        <v>564</v>
      </c>
      <c r="E85">
        <v>0.33333333333333331</v>
      </c>
      <c r="F85" t="s">
        <v>410</v>
      </c>
      <c r="G85" t="s">
        <v>410</v>
      </c>
      <c r="H85">
        <v>1</v>
      </c>
    </row>
    <row r="86" spans="1:8" x14ac:dyDescent="0.3">
      <c r="A86" s="1">
        <v>84</v>
      </c>
      <c r="B86" t="s">
        <v>412</v>
      </c>
      <c r="C86" t="s">
        <v>413</v>
      </c>
      <c r="D86" t="s">
        <v>413</v>
      </c>
      <c r="E86">
        <v>0</v>
      </c>
      <c r="F86" t="s">
        <v>415</v>
      </c>
      <c r="G86" t="s">
        <v>415</v>
      </c>
      <c r="H86">
        <v>1.00000011920929</v>
      </c>
    </row>
    <row r="87" spans="1:8" x14ac:dyDescent="0.3">
      <c r="A87" s="1">
        <v>85</v>
      </c>
      <c r="B87" t="s">
        <v>417</v>
      </c>
      <c r="C87" t="s">
        <v>418</v>
      </c>
      <c r="D87" t="s">
        <v>418</v>
      </c>
      <c r="E87">
        <v>0</v>
      </c>
      <c r="F87" t="s">
        <v>420</v>
      </c>
      <c r="G87" t="s">
        <v>420</v>
      </c>
      <c r="H87">
        <v>1</v>
      </c>
    </row>
    <row r="88" spans="1:8" x14ac:dyDescent="0.3">
      <c r="A88" s="1">
        <v>86</v>
      </c>
      <c r="B88" t="s">
        <v>422</v>
      </c>
      <c r="C88" t="s">
        <v>423</v>
      </c>
      <c r="D88" t="s">
        <v>565</v>
      </c>
      <c r="E88">
        <v>0.25</v>
      </c>
      <c r="F88" t="s">
        <v>425</v>
      </c>
      <c r="G88" t="s">
        <v>425</v>
      </c>
      <c r="H88">
        <v>1.0000002384185791</v>
      </c>
    </row>
    <row r="89" spans="1:8" x14ac:dyDescent="0.3">
      <c r="A89" s="1">
        <v>87</v>
      </c>
      <c r="B89" t="s">
        <v>426</v>
      </c>
      <c r="C89" t="s">
        <v>427</v>
      </c>
      <c r="D89" t="s">
        <v>427</v>
      </c>
      <c r="E89">
        <v>0</v>
      </c>
      <c r="F89" t="s">
        <v>429</v>
      </c>
      <c r="G89" t="s">
        <v>429</v>
      </c>
      <c r="H89">
        <v>1.0000002384185791</v>
      </c>
    </row>
    <row r="90" spans="1:8" x14ac:dyDescent="0.3">
      <c r="A90" s="1">
        <v>88</v>
      </c>
      <c r="B90" t="s">
        <v>431</v>
      </c>
      <c r="C90" t="s">
        <v>432</v>
      </c>
      <c r="D90" t="s">
        <v>432</v>
      </c>
      <c r="E90">
        <v>0</v>
      </c>
      <c r="F90" t="s">
        <v>434</v>
      </c>
      <c r="G90" t="s">
        <v>434</v>
      </c>
      <c r="H90">
        <v>1.0000002384185791</v>
      </c>
    </row>
    <row r="91" spans="1:8" x14ac:dyDescent="0.3">
      <c r="A91" s="1">
        <v>89</v>
      </c>
      <c r="B91" t="s">
        <v>436</v>
      </c>
      <c r="C91" t="s">
        <v>437</v>
      </c>
      <c r="D91" t="s">
        <v>437</v>
      </c>
      <c r="E91">
        <v>0</v>
      </c>
      <c r="F91" t="s">
        <v>439</v>
      </c>
      <c r="G91" t="s">
        <v>439</v>
      </c>
      <c r="H91">
        <v>0.9999997615814209</v>
      </c>
    </row>
    <row r="92" spans="1:8" x14ac:dyDescent="0.3">
      <c r="A92" s="1">
        <v>90</v>
      </c>
      <c r="B92" t="s">
        <v>441</v>
      </c>
      <c r="C92" t="s">
        <v>442</v>
      </c>
      <c r="D92" t="s">
        <v>566</v>
      </c>
      <c r="E92">
        <v>0.4</v>
      </c>
      <c r="F92" t="s">
        <v>444</v>
      </c>
      <c r="G92" t="s">
        <v>567</v>
      </c>
      <c r="H92">
        <v>0.89645522832870483</v>
      </c>
    </row>
    <row r="93" spans="1:8" x14ac:dyDescent="0.3">
      <c r="A93" s="1">
        <v>91</v>
      </c>
      <c r="B93" t="s">
        <v>446</v>
      </c>
      <c r="C93" t="s">
        <v>447</v>
      </c>
      <c r="D93" t="s">
        <v>447</v>
      </c>
      <c r="E93">
        <v>0</v>
      </c>
      <c r="F93" t="s">
        <v>449</v>
      </c>
      <c r="G93" t="s">
        <v>449</v>
      </c>
      <c r="H93">
        <v>0.99999988079071045</v>
      </c>
    </row>
    <row r="94" spans="1:8" x14ac:dyDescent="0.3">
      <c r="A94" s="1">
        <v>92</v>
      </c>
      <c r="B94" t="s">
        <v>451</v>
      </c>
      <c r="C94" t="s">
        <v>452</v>
      </c>
      <c r="D94" t="s">
        <v>452</v>
      </c>
      <c r="E94">
        <v>0</v>
      </c>
      <c r="F94" t="s">
        <v>454</v>
      </c>
      <c r="G94" t="s">
        <v>454</v>
      </c>
      <c r="H94">
        <v>1.00000011920929</v>
      </c>
    </row>
    <row r="95" spans="1:8" x14ac:dyDescent="0.3">
      <c r="A95" s="1">
        <v>93</v>
      </c>
      <c r="B95" t="s">
        <v>456</v>
      </c>
      <c r="C95" t="s">
        <v>457</v>
      </c>
      <c r="D95" t="s">
        <v>568</v>
      </c>
      <c r="E95">
        <v>0.125</v>
      </c>
      <c r="F95" t="s">
        <v>459</v>
      </c>
      <c r="G95" t="s">
        <v>459</v>
      </c>
      <c r="H95">
        <v>1.00000011920929</v>
      </c>
    </row>
    <row r="96" spans="1:8" x14ac:dyDescent="0.3">
      <c r="A96" s="1">
        <v>94</v>
      </c>
      <c r="B96" t="s">
        <v>461</v>
      </c>
      <c r="C96" t="s">
        <v>462</v>
      </c>
      <c r="D96" t="s">
        <v>569</v>
      </c>
      <c r="E96">
        <v>0.33333333333333331</v>
      </c>
      <c r="F96" t="s">
        <v>464</v>
      </c>
      <c r="G96" t="s">
        <v>464</v>
      </c>
      <c r="H96">
        <v>1</v>
      </c>
    </row>
    <row r="97" spans="1:8" x14ac:dyDescent="0.3">
      <c r="A97" s="1">
        <v>95</v>
      </c>
      <c r="B97" t="s">
        <v>466</v>
      </c>
      <c r="C97" t="s">
        <v>467</v>
      </c>
      <c r="D97" t="s">
        <v>570</v>
      </c>
      <c r="E97">
        <v>0.66666666666666663</v>
      </c>
      <c r="F97" t="s">
        <v>469</v>
      </c>
      <c r="G97" t="s">
        <v>469</v>
      </c>
      <c r="H97">
        <v>1.0000002384185791</v>
      </c>
    </row>
    <row r="98" spans="1:8" x14ac:dyDescent="0.3">
      <c r="A98" s="1">
        <v>96</v>
      </c>
      <c r="B98" t="s">
        <v>471</v>
      </c>
      <c r="C98" t="s">
        <v>472</v>
      </c>
      <c r="D98" t="s">
        <v>472</v>
      </c>
      <c r="E98">
        <v>0</v>
      </c>
      <c r="F98" t="s">
        <v>474</v>
      </c>
      <c r="G98" t="s">
        <v>474</v>
      </c>
      <c r="H98">
        <v>1</v>
      </c>
    </row>
    <row r="99" spans="1:8" x14ac:dyDescent="0.3">
      <c r="A99" s="1">
        <v>97</v>
      </c>
      <c r="B99" t="s">
        <v>476</v>
      </c>
      <c r="C99" t="s">
        <v>477</v>
      </c>
      <c r="D99" t="s">
        <v>477</v>
      </c>
      <c r="E99">
        <v>0</v>
      </c>
      <c r="F99" t="s">
        <v>478</v>
      </c>
      <c r="G99" t="s">
        <v>478</v>
      </c>
      <c r="H99">
        <v>1.00000011920929</v>
      </c>
    </row>
    <row r="100" spans="1:8" x14ac:dyDescent="0.3">
      <c r="A100" s="1">
        <v>98</v>
      </c>
      <c r="B100" t="s">
        <v>479</v>
      </c>
      <c r="C100" t="s">
        <v>480</v>
      </c>
      <c r="D100" t="s">
        <v>571</v>
      </c>
      <c r="E100">
        <v>0.25</v>
      </c>
      <c r="F100" t="s">
        <v>482</v>
      </c>
      <c r="G100" t="s">
        <v>482</v>
      </c>
      <c r="H100">
        <v>1</v>
      </c>
    </row>
    <row r="101" spans="1:8" x14ac:dyDescent="0.3">
      <c r="A101" s="1">
        <v>99</v>
      </c>
      <c r="B101" t="s">
        <v>484</v>
      </c>
      <c r="C101" t="s">
        <v>485</v>
      </c>
      <c r="D101" t="s">
        <v>485</v>
      </c>
      <c r="E101">
        <v>0</v>
      </c>
      <c r="F101" t="s">
        <v>487</v>
      </c>
      <c r="G101" t="s">
        <v>487</v>
      </c>
      <c r="H101">
        <v>1.0000002384185791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63B6-936A-42DA-8D2C-7A1074DEA856}">
  <dimension ref="A1:K101"/>
  <sheetViews>
    <sheetView workbookViewId="0">
      <selection activeCell="K7" sqref="K7"/>
    </sheetView>
  </sheetViews>
  <sheetFormatPr defaultRowHeight="14.4" x14ac:dyDescent="0.3"/>
  <cols>
    <col min="2" max="2" width="24.44140625" customWidth="1"/>
    <col min="3" max="3" width="24.21875" customWidth="1"/>
    <col min="4" max="4" width="19.21875" customWidth="1"/>
    <col min="5" max="5" width="24.33203125" customWidth="1"/>
    <col min="6" max="6" width="22.77734375" customWidth="1"/>
    <col min="7" max="7" width="28.21875" customWidth="1"/>
    <col min="8" max="8" width="17.21875" customWidth="1"/>
    <col min="11" max="11" width="52.77734375" customWidth="1"/>
  </cols>
  <sheetData>
    <row r="1" spans="1:11" x14ac:dyDescent="0.3">
      <c r="B1" s="1" t="s">
        <v>0</v>
      </c>
      <c r="C1" s="1" t="s">
        <v>1</v>
      </c>
      <c r="D1" s="1" t="s">
        <v>2</v>
      </c>
      <c r="E1" s="1" t="s">
        <v>3</v>
      </c>
      <c r="F1" s="1" t="s">
        <v>4</v>
      </c>
      <c r="G1" s="1" t="s">
        <v>5</v>
      </c>
      <c r="H1" s="1" t="s">
        <v>6</v>
      </c>
    </row>
    <row r="2" spans="1:11" x14ac:dyDescent="0.3">
      <c r="A2" s="1">
        <v>0</v>
      </c>
      <c r="B2" t="s">
        <v>7</v>
      </c>
      <c r="C2" t="s">
        <v>8</v>
      </c>
      <c r="D2" t="s">
        <v>586</v>
      </c>
      <c r="E2">
        <v>0.33333333333333331</v>
      </c>
      <c r="F2" t="s">
        <v>10</v>
      </c>
      <c r="G2" t="s">
        <v>10</v>
      </c>
      <c r="H2">
        <v>0.99999994039535522</v>
      </c>
    </row>
    <row r="3" spans="1:11" x14ac:dyDescent="0.3">
      <c r="A3" s="1">
        <v>1</v>
      </c>
      <c r="B3" t="s">
        <v>12</v>
      </c>
      <c r="C3" t="s">
        <v>13</v>
      </c>
      <c r="D3" t="s">
        <v>587</v>
      </c>
      <c r="E3">
        <v>0.66666666666666663</v>
      </c>
      <c r="F3" t="s">
        <v>15</v>
      </c>
      <c r="G3" t="s">
        <v>15</v>
      </c>
      <c r="H3">
        <v>1.0000002384185791</v>
      </c>
    </row>
    <row r="4" spans="1:11" x14ac:dyDescent="0.3">
      <c r="A4" s="1">
        <v>2</v>
      </c>
      <c r="B4" t="s">
        <v>17</v>
      </c>
      <c r="C4" t="s">
        <v>18</v>
      </c>
      <c r="D4" t="s">
        <v>588</v>
      </c>
      <c r="E4">
        <v>0.66666666666666663</v>
      </c>
      <c r="F4" t="s">
        <v>20</v>
      </c>
      <c r="G4" t="s">
        <v>20</v>
      </c>
      <c r="H4">
        <v>1.0000002384185791</v>
      </c>
      <c r="K4" s="13" t="s">
        <v>685</v>
      </c>
    </row>
    <row r="5" spans="1:11" x14ac:dyDescent="0.3">
      <c r="A5" s="1">
        <v>3</v>
      </c>
      <c r="B5" t="s">
        <v>22</v>
      </c>
      <c r="C5" t="s">
        <v>23</v>
      </c>
      <c r="D5" t="s">
        <v>589</v>
      </c>
      <c r="E5">
        <v>1</v>
      </c>
      <c r="F5" t="s">
        <v>25</v>
      </c>
      <c r="G5" t="s">
        <v>590</v>
      </c>
      <c r="H5">
        <v>4.1545651853084557E-2</v>
      </c>
    </row>
    <row r="6" spans="1:11" x14ac:dyDescent="0.3">
      <c r="A6" s="1">
        <v>4</v>
      </c>
      <c r="B6" t="s">
        <v>27</v>
      </c>
      <c r="C6" t="s">
        <v>28</v>
      </c>
      <c r="D6" t="s">
        <v>591</v>
      </c>
      <c r="E6">
        <v>0.125</v>
      </c>
      <c r="F6" t="s">
        <v>30</v>
      </c>
      <c r="G6" t="s">
        <v>30</v>
      </c>
      <c r="H6">
        <v>1</v>
      </c>
    </row>
    <row r="7" spans="1:11" x14ac:dyDescent="0.3">
      <c r="A7" s="1">
        <v>5</v>
      </c>
      <c r="B7" t="s">
        <v>32</v>
      </c>
      <c r="C7" t="s">
        <v>33</v>
      </c>
      <c r="D7" t="s">
        <v>592</v>
      </c>
      <c r="E7">
        <v>0.14285714285714279</v>
      </c>
      <c r="F7" t="s">
        <v>35</v>
      </c>
      <c r="G7" t="s">
        <v>35</v>
      </c>
      <c r="H7">
        <v>1</v>
      </c>
    </row>
    <row r="8" spans="1:11" x14ac:dyDescent="0.3">
      <c r="A8" s="1">
        <v>6</v>
      </c>
      <c r="B8" t="s">
        <v>36</v>
      </c>
      <c r="C8" t="s">
        <v>37</v>
      </c>
      <c r="D8" t="s">
        <v>593</v>
      </c>
      <c r="E8">
        <v>1</v>
      </c>
      <c r="F8" t="s">
        <v>39</v>
      </c>
      <c r="G8" t="s">
        <v>594</v>
      </c>
      <c r="H8">
        <v>0.75318223237991333</v>
      </c>
    </row>
    <row r="9" spans="1:11" x14ac:dyDescent="0.3">
      <c r="A9" s="1">
        <v>7</v>
      </c>
      <c r="B9" t="s">
        <v>40</v>
      </c>
      <c r="C9" t="s">
        <v>41</v>
      </c>
      <c r="D9" t="s">
        <v>41</v>
      </c>
      <c r="E9">
        <v>0</v>
      </c>
      <c r="F9" t="s">
        <v>43</v>
      </c>
      <c r="G9" t="s">
        <v>43</v>
      </c>
      <c r="H9">
        <v>0.99999994039535522</v>
      </c>
    </row>
    <row r="10" spans="1:11" x14ac:dyDescent="0.3">
      <c r="A10" s="1">
        <v>8</v>
      </c>
      <c r="B10" t="s">
        <v>45</v>
      </c>
      <c r="C10" t="s">
        <v>46</v>
      </c>
      <c r="D10" t="s">
        <v>595</v>
      </c>
      <c r="E10">
        <v>0.33333333333333331</v>
      </c>
      <c r="F10" t="s">
        <v>48</v>
      </c>
      <c r="G10" t="s">
        <v>596</v>
      </c>
      <c r="H10">
        <v>0.97012150287628174</v>
      </c>
    </row>
    <row r="11" spans="1:11" x14ac:dyDescent="0.3">
      <c r="A11" s="1">
        <v>9</v>
      </c>
      <c r="B11" t="s">
        <v>50</v>
      </c>
      <c r="C11" t="s">
        <v>51</v>
      </c>
      <c r="D11" t="s">
        <v>51</v>
      </c>
      <c r="E11">
        <v>0</v>
      </c>
      <c r="F11" t="s">
        <v>53</v>
      </c>
      <c r="G11" t="s">
        <v>53</v>
      </c>
      <c r="H11">
        <v>1.00000011920929</v>
      </c>
    </row>
    <row r="12" spans="1:11" x14ac:dyDescent="0.3">
      <c r="A12" s="1">
        <v>10</v>
      </c>
      <c r="B12" t="s">
        <v>55</v>
      </c>
      <c r="C12" t="s">
        <v>56</v>
      </c>
      <c r="D12" t="s">
        <v>56</v>
      </c>
      <c r="E12">
        <v>0</v>
      </c>
      <c r="F12" t="s">
        <v>58</v>
      </c>
      <c r="G12" t="s">
        <v>58</v>
      </c>
      <c r="H12">
        <v>1</v>
      </c>
    </row>
    <row r="13" spans="1:11" x14ac:dyDescent="0.3">
      <c r="A13" s="1">
        <v>11</v>
      </c>
      <c r="B13" t="s">
        <v>60</v>
      </c>
      <c r="C13" t="s">
        <v>61</v>
      </c>
      <c r="D13" t="s">
        <v>597</v>
      </c>
      <c r="E13">
        <v>0.5</v>
      </c>
      <c r="F13" t="s">
        <v>63</v>
      </c>
      <c r="G13" t="s">
        <v>63</v>
      </c>
      <c r="H13">
        <v>1</v>
      </c>
    </row>
    <row r="14" spans="1:11" x14ac:dyDescent="0.3">
      <c r="A14" s="1">
        <v>12</v>
      </c>
      <c r="B14" t="s">
        <v>65</v>
      </c>
      <c r="C14" t="s">
        <v>66</v>
      </c>
      <c r="D14" t="s">
        <v>66</v>
      </c>
      <c r="E14">
        <v>0</v>
      </c>
      <c r="F14" t="s">
        <v>68</v>
      </c>
      <c r="G14" t="s">
        <v>68</v>
      </c>
      <c r="H14">
        <v>1.00000011920929</v>
      </c>
    </row>
    <row r="15" spans="1:11" x14ac:dyDescent="0.3">
      <c r="A15" s="1">
        <v>13</v>
      </c>
      <c r="B15" t="s">
        <v>70</v>
      </c>
      <c r="C15" t="s">
        <v>71</v>
      </c>
      <c r="D15" t="s">
        <v>71</v>
      </c>
      <c r="E15">
        <v>0</v>
      </c>
      <c r="F15" t="s">
        <v>73</v>
      </c>
      <c r="G15" t="s">
        <v>73</v>
      </c>
      <c r="H15">
        <v>1.0000002384185791</v>
      </c>
    </row>
    <row r="16" spans="1:11" x14ac:dyDescent="0.3">
      <c r="A16" s="1">
        <v>14</v>
      </c>
      <c r="B16" t="s">
        <v>75</v>
      </c>
      <c r="C16" t="s">
        <v>76</v>
      </c>
      <c r="D16" t="s">
        <v>76</v>
      </c>
      <c r="E16">
        <v>0</v>
      </c>
      <c r="F16" t="s">
        <v>78</v>
      </c>
      <c r="G16" t="s">
        <v>78</v>
      </c>
      <c r="H16">
        <v>0.99999988079071045</v>
      </c>
    </row>
    <row r="17" spans="1:8" x14ac:dyDescent="0.3">
      <c r="A17" s="1">
        <v>15</v>
      </c>
      <c r="B17" t="s">
        <v>80</v>
      </c>
      <c r="C17" t="s">
        <v>81</v>
      </c>
      <c r="D17" t="s">
        <v>598</v>
      </c>
      <c r="E17">
        <v>0.2</v>
      </c>
      <c r="F17" t="s">
        <v>83</v>
      </c>
      <c r="G17" t="s">
        <v>83</v>
      </c>
      <c r="H17">
        <v>0.99999988079071045</v>
      </c>
    </row>
    <row r="18" spans="1:8" x14ac:dyDescent="0.3">
      <c r="A18" s="1">
        <v>16</v>
      </c>
      <c r="B18" t="s">
        <v>85</v>
      </c>
      <c r="C18" t="s">
        <v>86</v>
      </c>
      <c r="D18" t="s">
        <v>599</v>
      </c>
      <c r="E18">
        <v>0.5</v>
      </c>
      <c r="F18" t="s">
        <v>87</v>
      </c>
      <c r="G18" t="s">
        <v>600</v>
      </c>
      <c r="H18">
        <v>0.32088717818260187</v>
      </c>
    </row>
    <row r="19" spans="1:8" x14ac:dyDescent="0.3">
      <c r="A19" s="1">
        <v>17</v>
      </c>
      <c r="B19" t="s">
        <v>88</v>
      </c>
      <c r="C19" t="s">
        <v>89</v>
      </c>
      <c r="D19" t="s">
        <v>601</v>
      </c>
      <c r="E19">
        <v>0.2</v>
      </c>
      <c r="F19" t="s">
        <v>91</v>
      </c>
      <c r="G19" t="s">
        <v>91</v>
      </c>
      <c r="H19">
        <v>0.99999994039535522</v>
      </c>
    </row>
    <row r="20" spans="1:8" x14ac:dyDescent="0.3">
      <c r="A20" s="1">
        <v>18</v>
      </c>
      <c r="B20" t="s">
        <v>93</v>
      </c>
      <c r="C20" t="s">
        <v>94</v>
      </c>
      <c r="D20" t="s">
        <v>602</v>
      </c>
      <c r="E20">
        <v>0.5</v>
      </c>
      <c r="F20" t="s">
        <v>96</v>
      </c>
      <c r="G20" t="s">
        <v>603</v>
      </c>
      <c r="H20">
        <v>0.54973769187927246</v>
      </c>
    </row>
    <row r="21" spans="1:8" x14ac:dyDescent="0.3">
      <c r="A21" s="1">
        <v>19</v>
      </c>
      <c r="B21" t="s">
        <v>98</v>
      </c>
      <c r="C21" t="s">
        <v>99</v>
      </c>
      <c r="D21" t="s">
        <v>99</v>
      </c>
      <c r="E21">
        <v>0</v>
      </c>
      <c r="F21" t="s">
        <v>101</v>
      </c>
      <c r="G21" t="s">
        <v>101</v>
      </c>
      <c r="H21">
        <v>1.0000002384185791</v>
      </c>
    </row>
    <row r="22" spans="1:8" x14ac:dyDescent="0.3">
      <c r="A22" s="1">
        <v>20</v>
      </c>
      <c r="B22" t="s">
        <v>103</v>
      </c>
      <c r="C22" t="s">
        <v>604</v>
      </c>
      <c r="D22" t="s">
        <v>605</v>
      </c>
      <c r="E22">
        <v>0.42857142857142849</v>
      </c>
      <c r="F22" t="s">
        <v>106</v>
      </c>
      <c r="G22" t="s">
        <v>606</v>
      </c>
      <c r="H22">
        <v>0.90663361549377441</v>
      </c>
    </row>
    <row r="23" spans="1:8" x14ac:dyDescent="0.3">
      <c r="A23" s="1">
        <v>21</v>
      </c>
      <c r="B23" t="s">
        <v>108</v>
      </c>
      <c r="C23" t="s">
        <v>109</v>
      </c>
      <c r="D23" t="s">
        <v>607</v>
      </c>
      <c r="E23">
        <v>0.5</v>
      </c>
      <c r="F23" t="s">
        <v>111</v>
      </c>
      <c r="G23" t="s">
        <v>608</v>
      </c>
      <c r="H23">
        <v>0.84008181095123291</v>
      </c>
    </row>
    <row r="24" spans="1:8" x14ac:dyDescent="0.3">
      <c r="A24" s="1">
        <v>22</v>
      </c>
      <c r="B24" t="s">
        <v>113</v>
      </c>
      <c r="C24" t="s">
        <v>114</v>
      </c>
      <c r="D24" t="s">
        <v>114</v>
      </c>
      <c r="E24">
        <v>0</v>
      </c>
      <c r="F24" t="s">
        <v>116</v>
      </c>
      <c r="G24" t="s">
        <v>116</v>
      </c>
      <c r="H24">
        <v>0.9999997615814209</v>
      </c>
    </row>
    <row r="25" spans="1:8" x14ac:dyDescent="0.3">
      <c r="A25" s="1">
        <v>23</v>
      </c>
      <c r="B25" t="s">
        <v>118</v>
      </c>
      <c r="C25" t="s">
        <v>119</v>
      </c>
      <c r="D25" t="s">
        <v>609</v>
      </c>
      <c r="E25">
        <v>0.5</v>
      </c>
      <c r="F25" t="s">
        <v>121</v>
      </c>
      <c r="G25" t="s">
        <v>610</v>
      </c>
      <c r="H25">
        <v>0.31205347180366522</v>
      </c>
    </row>
    <row r="26" spans="1:8" x14ac:dyDescent="0.3">
      <c r="A26" s="1">
        <v>24</v>
      </c>
      <c r="B26" t="s">
        <v>123</v>
      </c>
      <c r="C26" t="s">
        <v>124</v>
      </c>
      <c r="D26" t="s">
        <v>124</v>
      </c>
      <c r="E26">
        <v>0</v>
      </c>
      <c r="F26" t="s">
        <v>126</v>
      </c>
      <c r="G26" t="s">
        <v>126</v>
      </c>
      <c r="H26">
        <v>1.0000002384185791</v>
      </c>
    </row>
    <row r="27" spans="1:8" x14ac:dyDescent="0.3">
      <c r="A27" s="1">
        <v>25</v>
      </c>
      <c r="B27" t="s">
        <v>128</v>
      </c>
      <c r="C27" t="s">
        <v>129</v>
      </c>
      <c r="D27" t="s">
        <v>611</v>
      </c>
      <c r="E27">
        <v>0.4</v>
      </c>
      <c r="F27" t="s">
        <v>131</v>
      </c>
      <c r="G27" t="s">
        <v>612</v>
      </c>
      <c r="H27">
        <v>0.22744505107402799</v>
      </c>
    </row>
    <row r="28" spans="1:8" x14ac:dyDescent="0.3">
      <c r="A28" s="1">
        <v>26</v>
      </c>
      <c r="B28" t="s">
        <v>133</v>
      </c>
      <c r="C28" t="s">
        <v>134</v>
      </c>
      <c r="D28" t="s">
        <v>613</v>
      </c>
      <c r="E28">
        <v>1</v>
      </c>
      <c r="F28" t="s">
        <v>136</v>
      </c>
      <c r="G28" t="s">
        <v>614</v>
      </c>
      <c r="H28">
        <v>5.7809960097074509E-2</v>
      </c>
    </row>
    <row r="29" spans="1:8" x14ac:dyDescent="0.3">
      <c r="A29" s="1">
        <v>27</v>
      </c>
      <c r="B29" t="s">
        <v>138</v>
      </c>
      <c r="C29" t="s">
        <v>139</v>
      </c>
      <c r="D29" t="s">
        <v>615</v>
      </c>
      <c r="E29">
        <v>0.83333333333333337</v>
      </c>
      <c r="F29" t="s">
        <v>141</v>
      </c>
      <c r="G29" t="s">
        <v>616</v>
      </c>
      <c r="H29">
        <v>0.82445734739303589</v>
      </c>
    </row>
    <row r="30" spans="1:8" x14ac:dyDescent="0.3">
      <c r="A30" s="1">
        <v>28</v>
      </c>
      <c r="B30" t="s">
        <v>143</v>
      </c>
      <c r="C30" t="s">
        <v>144</v>
      </c>
      <c r="D30" t="s">
        <v>617</v>
      </c>
      <c r="E30">
        <v>1</v>
      </c>
      <c r="F30" t="s">
        <v>146</v>
      </c>
      <c r="G30" t="s">
        <v>618</v>
      </c>
      <c r="H30">
        <v>8.5401400923728943E-2</v>
      </c>
    </row>
    <row r="31" spans="1:8" x14ac:dyDescent="0.3">
      <c r="A31" s="1">
        <v>29</v>
      </c>
      <c r="B31" t="s">
        <v>148</v>
      </c>
      <c r="C31" t="s">
        <v>149</v>
      </c>
      <c r="D31" t="s">
        <v>619</v>
      </c>
      <c r="E31">
        <v>1</v>
      </c>
      <c r="F31" t="s">
        <v>151</v>
      </c>
      <c r="G31" t="s">
        <v>620</v>
      </c>
      <c r="H31">
        <v>0.3049854040145874</v>
      </c>
    </row>
    <row r="32" spans="1:8" x14ac:dyDescent="0.3">
      <c r="A32" s="1">
        <v>30</v>
      </c>
      <c r="B32" t="s">
        <v>153</v>
      </c>
      <c r="C32" t="s">
        <v>154</v>
      </c>
      <c r="D32" t="s">
        <v>154</v>
      </c>
      <c r="E32">
        <v>0</v>
      </c>
      <c r="F32" t="s">
        <v>155</v>
      </c>
      <c r="G32" t="s">
        <v>155</v>
      </c>
      <c r="H32">
        <v>1.00000011920929</v>
      </c>
    </row>
    <row r="33" spans="1:8" x14ac:dyDescent="0.3">
      <c r="A33" s="1">
        <v>31</v>
      </c>
      <c r="B33" t="s">
        <v>156</v>
      </c>
      <c r="C33" t="s">
        <v>157</v>
      </c>
      <c r="D33" t="s">
        <v>157</v>
      </c>
      <c r="E33">
        <v>0</v>
      </c>
      <c r="F33" t="s">
        <v>159</v>
      </c>
      <c r="G33" t="s">
        <v>159</v>
      </c>
      <c r="H33">
        <v>1</v>
      </c>
    </row>
    <row r="34" spans="1:8" x14ac:dyDescent="0.3">
      <c r="A34" s="1">
        <v>32</v>
      </c>
      <c r="B34" t="s">
        <v>161</v>
      </c>
      <c r="C34" t="s">
        <v>162</v>
      </c>
      <c r="D34" t="s">
        <v>621</v>
      </c>
      <c r="E34">
        <v>1</v>
      </c>
      <c r="F34" t="s">
        <v>164</v>
      </c>
      <c r="G34" t="s">
        <v>622</v>
      </c>
      <c r="H34">
        <v>0.60369712114334106</v>
      </c>
    </row>
    <row r="35" spans="1:8" x14ac:dyDescent="0.3">
      <c r="A35" s="1">
        <v>33</v>
      </c>
      <c r="B35" t="s">
        <v>166</v>
      </c>
      <c r="C35" t="s">
        <v>167</v>
      </c>
      <c r="D35" t="s">
        <v>623</v>
      </c>
      <c r="E35">
        <v>0.42857142857142849</v>
      </c>
      <c r="F35" t="s">
        <v>169</v>
      </c>
      <c r="G35" t="s">
        <v>624</v>
      </c>
      <c r="H35">
        <v>0.44888666272163391</v>
      </c>
    </row>
    <row r="36" spans="1:8" x14ac:dyDescent="0.3">
      <c r="A36" s="1">
        <v>34</v>
      </c>
      <c r="B36" t="s">
        <v>171</v>
      </c>
      <c r="C36" t="s">
        <v>172</v>
      </c>
      <c r="D36" t="s">
        <v>172</v>
      </c>
      <c r="E36">
        <v>0</v>
      </c>
      <c r="F36" t="s">
        <v>174</v>
      </c>
      <c r="G36" t="s">
        <v>174</v>
      </c>
      <c r="H36">
        <v>0.99999988079071045</v>
      </c>
    </row>
    <row r="37" spans="1:8" x14ac:dyDescent="0.3">
      <c r="A37" s="1">
        <v>35</v>
      </c>
      <c r="B37" t="s">
        <v>176</v>
      </c>
      <c r="C37" t="s">
        <v>177</v>
      </c>
      <c r="D37" t="s">
        <v>625</v>
      </c>
      <c r="E37">
        <v>0.16666666666666671</v>
      </c>
      <c r="F37" t="s">
        <v>179</v>
      </c>
      <c r="G37" t="s">
        <v>626</v>
      </c>
      <c r="H37">
        <v>0.71904122829437256</v>
      </c>
    </row>
    <row r="38" spans="1:8" x14ac:dyDescent="0.3">
      <c r="A38" s="1">
        <v>36</v>
      </c>
      <c r="B38" t="s">
        <v>181</v>
      </c>
      <c r="C38" t="s">
        <v>182</v>
      </c>
      <c r="D38" t="s">
        <v>627</v>
      </c>
      <c r="E38">
        <v>1</v>
      </c>
      <c r="F38" t="s">
        <v>184</v>
      </c>
      <c r="G38" t="s">
        <v>184</v>
      </c>
      <c r="H38">
        <v>1.00000011920929</v>
      </c>
    </row>
    <row r="39" spans="1:8" x14ac:dyDescent="0.3">
      <c r="A39" s="1">
        <v>37</v>
      </c>
      <c r="B39" t="s">
        <v>186</v>
      </c>
      <c r="C39" t="s">
        <v>187</v>
      </c>
      <c r="D39" t="s">
        <v>628</v>
      </c>
      <c r="E39">
        <v>0.33333333333333331</v>
      </c>
      <c r="F39" t="s">
        <v>189</v>
      </c>
      <c r="G39" t="s">
        <v>189</v>
      </c>
      <c r="H39">
        <v>1.00000011920929</v>
      </c>
    </row>
    <row r="40" spans="1:8" x14ac:dyDescent="0.3">
      <c r="A40" s="1">
        <v>38</v>
      </c>
      <c r="B40" t="s">
        <v>191</v>
      </c>
      <c r="C40" t="s">
        <v>192</v>
      </c>
      <c r="D40" t="s">
        <v>192</v>
      </c>
      <c r="E40">
        <v>0</v>
      </c>
      <c r="F40" t="s">
        <v>194</v>
      </c>
      <c r="G40" t="s">
        <v>194</v>
      </c>
      <c r="H40">
        <v>1</v>
      </c>
    </row>
    <row r="41" spans="1:8" x14ac:dyDescent="0.3">
      <c r="A41" s="1">
        <v>39</v>
      </c>
      <c r="B41" t="s">
        <v>196</v>
      </c>
      <c r="C41" t="s">
        <v>197</v>
      </c>
      <c r="D41" t="s">
        <v>629</v>
      </c>
      <c r="E41">
        <v>0.5</v>
      </c>
      <c r="F41" t="s">
        <v>199</v>
      </c>
      <c r="G41" t="s">
        <v>630</v>
      </c>
      <c r="H41">
        <v>0.43706187605857849</v>
      </c>
    </row>
    <row r="42" spans="1:8" x14ac:dyDescent="0.3">
      <c r="A42" s="1">
        <v>40</v>
      </c>
      <c r="B42" t="s">
        <v>201</v>
      </c>
      <c r="C42" t="s">
        <v>202</v>
      </c>
      <c r="D42" t="s">
        <v>202</v>
      </c>
      <c r="E42">
        <v>0</v>
      </c>
      <c r="F42" t="s">
        <v>204</v>
      </c>
      <c r="G42" t="s">
        <v>204</v>
      </c>
      <c r="H42">
        <v>1</v>
      </c>
    </row>
    <row r="43" spans="1:8" x14ac:dyDescent="0.3">
      <c r="A43" s="1">
        <v>41</v>
      </c>
      <c r="B43" t="s">
        <v>206</v>
      </c>
      <c r="C43" t="s">
        <v>207</v>
      </c>
      <c r="D43" t="s">
        <v>207</v>
      </c>
      <c r="E43">
        <v>0</v>
      </c>
      <c r="F43" t="s">
        <v>209</v>
      </c>
      <c r="G43" t="s">
        <v>209</v>
      </c>
      <c r="H43">
        <v>0.99999988079071045</v>
      </c>
    </row>
    <row r="44" spans="1:8" x14ac:dyDescent="0.3">
      <c r="A44" s="1">
        <v>42</v>
      </c>
      <c r="B44" t="s">
        <v>211</v>
      </c>
      <c r="C44" t="s">
        <v>212</v>
      </c>
      <c r="D44" t="s">
        <v>212</v>
      </c>
      <c r="E44">
        <v>0</v>
      </c>
      <c r="F44" t="s">
        <v>214</v>
      </c>
      <c r="G44" t="s">
        <v>214</v>
      </c>
      <c r="H44">
        <v>1.0000002384185791</v>
      </c>
    </row>
    <row r="45" spans="1:8" x14ac:dyDescent="0.3">
      <c r="A45" s="1">
        <v>43</v>
      </c>
      <c r="B45" t="s">
        <v>216</v>
      </c>
      <c r="C45" t="s">
        <v>217</v>
      </c>
      <c r="D45" t="s">
        <v>631</v>
      </c>
      <c r="E45">
        <v>0.5</v>
      </c>
      <c r="F45" t="s">
        <v>219</v>
      </c>
      <c r="G45" t="s">
        <v>632</v>
      </c>
      <c r="H45">
        <v>9.0471811592578888E-2</v>
      </c>
    </row>
    <row r="46" spans="1:8" x14ac:dyDescent="0.3">
      <c r="A46" s="1">
        <v>44</v>
      </c>
      <c r="B46" t="s">
        <v>221</v>
      </c>
      <c r="C46" t="s">
        <v>222</v>
      </c>
      <c r="D46" t="s">
        <v>633</v>
      </c>
      <c r="E46">
        <v>0.25</v>
      </c>
      <c r="F46" t="s">
        <v>224</v>
      </c>
      <c r="G46" t="s">
        <v>224</v>
      </c>
      <c r="H46">
        <v>0.99999988079071045</v>
      </c>
    </row>
    <row r="47" spans="1:8" x14ac:dyDescent="0.3">
      <c r="A47" s="1">
        <v>45</v>
      </c>
      <c r="B47" t="s">
        <v>226</v>
      </c>
      <c r="C47" t="s">
        <v>227</v>
      </c>
      <c r="D47" t="s">
        <v>634</v>
      </c>
      <c r="E47">
        <v>0.16666666666666671</v>
      </c>
      <c r="F47" t="s">
        <v>229</v>
      </c>
      <c r="G47" t="s">
        <v>229</v>
      </c>
      <c r="H47">
        <v>0.99999988079071045</v>
      </c>
    </row>
    <row r="48" spans="1:8" x14ac:dyDescent="0.3">
      <c r="A48" s="1">
        <v>46</v>
      </c>
      <c r="B48" t="s">
        <v>231</v>
      </c>
      <c r="C48" t="s">
        <v>232</v>
      </c>
      <c r="D48" t="s">
        <v>232</v>
      </c>
      <c r="E48">
        <v>0</v>
      </c>
      <c r="F48" t="s">
        <v>234</v>
      </c>
      <c r="G48" t="s">
        <v>234</v>
      </c>
      <c r="H48">
        <v>0.99999988079071045</v>
      </c>
    </row>
    <row r="49" spans="1:8" x14ac:dyDescent="0.3">
      <c r="A49" s="1">
        <v>47</v>
      </c>
      <c r="B49" t="s">
        <v>236</v>
      </c>
      <c r="C49" t="s">
        <v>237</v>
      </c>
      <c r="D49" t="s">
        <v>237</v>
      </c>
      <c r="E49">
        <v>0</v>
      </c>
      <c r="F49" t="s">
        <v>239</v>
      </c>
      <c r="G49" t="s">
        <v>239</v>
      </c>
      <c r="H49">
        <v>0.99999982118606567</v>
      </c>
    </row>
    <row r="50" spans="1:8" x14ac:dyDescent="0.3">
      <c r="A50" s="1">
        <v>48</v>
      </c>
      <c r="B50" t="s">
        <v>241</v>
      </c>
      <c r="C50" t="s">
        <v>242</v>
      </c>
      <c r="D50" t="s">
        <v>635</v>
      </c>
      <c r="E50">
        <v>0.66666666666666663</v>
      </c>
      <c r="F50" t="s">
        <v>244</v>
      </c>
      <c r="G50" t="s">
        <v>636</v>
      </c>
      <c r="H50">
        <v>0.19441559910774231</v>
      </c>
    </row>
    <row r="51" spans="1:8" x14ac:dyDescent="0.3">
      <c r="A51" s="1">
        <v>49</v>
      </c>
      <c r="B51" t="s">
        <v>246</v>
      </c>
      <c r="C51" t="s">
        <v>247</v>
      </c>
      <c r="D51" t="s">
        <v>637</v>
      </c>
      <c r="E51">
        <v>0.42857142857142849</v>
      </c>
      <c r="F51" t="s">
        <v>249</v>
      </c>
      <c r="G51" t="s">
        <v>638</v>
      </c>
      <c r="H51">
        <v>0.2493714839220047</v>
      </c>
    </row>
    <row r="52" spans="1:8" x14ac:dyDescent="0.3">
      <c r="A52" s="1">
        <v>50</v>
      </c>
      <c r="B52" t="s">
        <v>251</v>
      </c>
      <c r="C52" t="s">
        <v>252</v>
      </c>
      <c r="D52" t="s">
        <v>639</v>
      </c>
      <c r="E52">
        <v>0.16666666666666671</v>
      </c>
      <c r="F52" t="s">
        <v>254</v>
      </c>
      <c r="G52" t="s">
        <v>254</v>
      </c>
      <c r="H52">
        <v>0.99999988079071045</v>
      </c>
    </row>
    <row r="53" spans="1:8" x14ac:dyDescent="0.3">
      <c r="A53" s="1">
        <v>51</v>
      </c>
      <c r="B53" t="s">
        <v>256</v>
      </c>
      <c r="C53" t="s">
        <v>257</v>
      </c>
      <c r="D53" t="s">
        <v>640</v>
      </c>
      <c r="E53">
        <v>0.5</v>
      </c>
      <c r="F53" t="s">
        <v>259</v>
      </c>
      <c r="G53" t="s">
        <v>259</v>
      </c>
      <c r="H53">
        <v>1.0000002384185791</v>
      </c>
    </row>
    <row r="54" spans="1:8" x14ac:dyDescent="0.3">
      <c r="A54" s="1">
        <v>52</v>
      </c>
      <c r="B54" t="s">
        <v>261</v>
      </c>
      <c r="C54" t="s">
        <v>262</v>
      </c>
      <c r="D54" t="s">
        <v>262</v>
      </c>
      <c r="E54">
        <v>0</v>
      </c>
      <c r="F54" t="s">
        <v>264</v>
      </c>
      <c r="G54" t="s">
        <v>264</v>
      </c>
      <c r="H54">
        <v>1.0000002384185791</v>
      </c>
    </row>
    <row r="55" spans="1:8" x14ac:dyDescent="0.3">
      <c r="A55" s="1">
        <v>53</v>
      </c>
      <c r="B55" t="s">
        <v>265</v>
      </c>
      <c r="C55" t="s">
        <v>266</v>
      </c>
      <c r="D55" t="s">
        <v>535</v>
      </c>
      <c r="E55">
        <v>0.2857142857142857</v>
      </c>
      <c r="F55" t="s">
        <v>268</v>
      </c>
      <c r="G55" t="s">
        <v>268</v>
      </c>
      <c r="H55">
        <v>1</v>
      </c>
    </row>
    <row r="56" spans="1:8" x14ac:dyDescent="0.3">
      <c r="A56" s="1">
        <v>54</v>
      </c>
      <c r="B56" t="s">
        <v>270</v>
      </c>
      <c r="C56" t="s">
        <v>271</v>
      </c>
      <c r="D56" t="s">
        <v>641</v>
      </c>
      <c r="E56">
        <v>0.75</v>
      </c>
      <c r="F56" t="s">
        <v>273</v>
      </c>
      <c r="G56" t="s">
        <v>642</v>
      </c>
      <c r="H56">
        <v>0.37940970063209528</v>
      </c>
    </row>
    <row r="57" spans="1:8" x14ac:dyDescent="0.3">
      <c r="A57" s="1">
        <v>55</v>
      </c>
      <c r="B57" t="s">
        <v>275</v>
      </c>
      <c r="C57" t="s">
        <v>276</v>
      </c>
      <c r="D57" t="s">
        <v>643</v>
      </c>
      <c r="E57">
        <v>0.4</v>
      </c>
      <c r="F57" t="s">
        <v>278</v>
      </c>
      <c r="G57" t="s">
        <v>278</v>
      </c>
      <c r="H57">
        <v>1</v>
      </c>
    </row>
    <row r="58" spans="1:8" x14ac:dyDescent="0.3">
      <c r="A58" s="1">
        <v>56</v>
      </c>
      <c r="B58" t="s">
        <v>280</v>
      </c>
      <c r="C58" t="s">
        <v>281</v>
      </c>
      <c r="D58" t="s">
        <v>644</v>
      </c>
      <c r="E58">
        <v>0.66666666666666663</v>
      </c>
      <c r="F58" t="s">
        <v>283</v>
      </c>
      <c r="G58" t="s">
        <v>645</v>
      </c>
      <c r="H58">
        <v>0.90978968143463135</v>
      </c>
    </row>
    <row r="59" spans="1:8" x14ac:dyDescent="0.3">
      <c r="A59" s="1">
        <v>57</v>
      </c>
      <c r="B59" t="s">
        <v>285</v>
      </c>
      <c r="C59" t="s">
        <v>286</v>
      </c>
      <c r="D59" t="s">
        <v>646</v>
      </c>
      <c r="E59">
        <v>0.46153846153846162</v>
      </c>
      <c r="F59" t="s">
        <v>288</v>
      </c>
      <c r="G59" t="s">
        <v>647</v>
      </c>
      <c r="H59">
        <v>0.59300005435943604</v>
      </c>
    </row>
    <row r="60" spans="1:8" x14ac:dyDescent="0.3">
      <c r="A60" s="1">
        <v>58</v>
      </c>
      <c r="B60" t="s">
        <v>290</v>
      </c>
      <c r="C60" t="s">
        <v>291</v>
      </c>
      <c r="D60" t="s">
        <v>648</v>
      </c>
      <c r="E60">
        <v>0.25</v>
      </c>
      <c r="F60" t="s">
        <v>293</v>
      </c>
      <c r="G60" t="s">
        <v>293</v>
      </c>
      <c r="H60">
        <v>0.99999994039535522</v>
      </c>
    </row>
    <row r="61" spans="1:8" x14ac:dyDescent="0.3">
      <c r="A61" s="1">
        <v>59</v>
      </c>
      <c r="B61" t="s">
        <v>295</v>
      </c>
      <c r="C61" t="s">
        <v>296</v>
      </c>
      <c r="D61" t="s">
        <v>296</v>
      </c>
      <c r="E61">
        <v>0</v>
      </c>
      <c r="F61" t="s">
        <v>298</v>
      </c>
      <c r="G61" t="s">
        <v>298</v>
      </c>
      <c r="H61">
        <v>1.00000011920929</v>
      </c>
    </row>
    <row r="62" spans="1:8" x14ac:dyDescent="0.3">
      <c r="A62" s="1">
        <v>60</v>
      </c>
      <c r="B62" t="s">
        <v>300</v>
      </c>
      <c r="C62" t="s">
        <v>301</v>
      </c>
      <c r="D62" t="s">
        <v>649</v>
      </c>
      <c r="E62">
        <v>0.14285714285714279</v>
      </c>
      <c r="F62" t="s">
        <v>303</v>
      </c>
      <c r="G62" t="s">
        <v>303</v>
      </c>
      <c r="H62">
        <v>1.0000002384185791</v>
      </c>
    </row>
    <row r="63" spans="1:8" x14ac:dyDescent="0.3">
      <c r="A63" s="1">
        <v>61</v>
      </c>
      <c r="B63" t="s">
        <v>305</v>
      </c>
      <c r="C63" t="s">
        <v>306</v>
      </c>
      <c r="D63" t="s">
        <v>650</v>
      </c>
      <c r="E63">
        <v>0.2</v>
      </c>
      <c r="F63" t="s">
        <v>308</v>
      </c>
      <c r="G63" t="s">
        <v>651</v>
      </c>
      <c r="H63">
        <v>0.5390007495880127</v>
      </c>
    </row>
    <row r="64" spans="1:8" x14ac:dyDescent="0.3">
      <c r="A64" s="1">
        <v>62</v>
      </c>
      <c r="B64" t="s">
        <v>310</v>
      </c>
      <c r="C64" t="s">
        <v>227</v>
      </c>
      <c r="D64" t="s">
        <v>652</v>
      </c>
      <c r="E64">
        <v>0.16666666666666671</v>
      </c>
      <c r="F64" t="s">
        <v>229</v>
      </c>
      <c r="G64" t="s">
        <v>229</v>
      </c>
      <c r="H64">
        <v>0.99999988079071045</v>
      </c>
    </row>
    <row r="65" spans="1:8" x14ac:dyDescent="0.3">
      <c r="A65" s="1">
        <v>63</v>
      </c>
      <c r="B65" t="s">
        <v>312</v>
      </c>
      <c r="C65" t="s">
        <v>313</v>
      </c>
      <c r="D65" t="s">
        <v>313</v>
      </c>
      <c r="E65">
        <v>0</v>
      </c>
      <c r="F65" t="s">
        <v>315</v>
      </c>
      <c r="G65" t="s">
        <v>315</v>
      </c>
      <c r="H65">
        <v>1.00000011920929</v>
      </c>
    </row>
    <row r="66" spans="1:8" x14ac:dyDescent="0.3">
      <c r="A66" s="1">
        <v>64</v>
      </c>
      <c r="B66" t="s">
        <v>317</v>
      </c>
      <c r="C66" t="s">
        <v>318</v>
      </c>
      <c r="D66" t="s">
        <v>653</v>
      </c>
      <c r="E66">
        <v>0.2</v>
      </c>
      <c r="F66" t="s">
        <v>320</v>
      </c>
      <c r="G66" t="s">
        <v>654</v>
      </c>
      <c r="H66">
        <v>0.47954967617988592</v>
      </c>
    </row>
    <row r="67" spans="1:8" x14ac:dyDescent="0.3">
      <c r="A67" s="1">
        <v>65</v>
      </c>
      <c r="B67" t="s">
        <v>322</v>
      </c>
      <c r="C67" t="s">
        <v>323</v>
      </c>
      <c r="D67" t="s">
        <v>655</v>
      </c>
      <c r="E67">
        <v>0.4</v>
      </c>
      <c r="F67" t="s">
        <v>325</v>
      </c>
      <c r="G67" t="s">
        <v>656</v>
      </c>
      <c r="H67">
        <v>0.85937333106994629</v>
      </c>
    </row>
    <row r="68" spans="1:8" x14ac:dyDescent="0.3">
      <c r="A68" s="1">
        <v>66</v>
      </c>
      <c r="B68" t="s">
        <v>327</v>
      </c>
      <c r="C68" t="s">
        <v>328</v>
      </c>
      <c r="D68" t="s">
        <v>657</v>
      </c>
      <c r="E68">
        <v>0.6</v>
      </c>
      <c r="F68" t="s">
        <v>330</v>
      </c>
      <c r="G68" t="s">
        <v>658</v>
      </c>
      <c r="H68">
        <v>0.64197784662246704</v>
      </c>
    </row>
    <row r="69" spans="1:8" x14ac:dyDescent="0.3">
      <c r="A69" s="1">
        <v>67</v>
      </c>
      <c r="B69" t="s">
        <v>332</v>
      </c>
      <c r="C69" t="s">
        <v>333</v>
      </c>
      <c r="D69" t="s">
        <v>659</v>
      </c>
      <c r="E69">
        <v>0.33333333333333331</v>
      </c>
      <c r="F69" t="s">
        <v>335</v>
      </c>
      <c r="G69" t="s">
        <v>335</v>
      </c>
      <c r="H69">
        <v>1.00000011920929</v>
      </c>
    </row>
    <row r="70" spans="1:8" x14ac:dyDescent="0.3">
      <c r="A70" s="1">
        <v>68</v>
      </c>
      <c r="B70" t="s">
        <v>337</v>
      </c>
      <c r="C70" t="s">
        <v>338</v>
      </c>
      <c r="D70" t="s">
        <v>338</v>
      </c>
      <c r="E70">
        <v>0</v>
      </c>
      <c r="F70" t="s">
        <v>340</v>
      </c>
      <c r="G70" t="s">
        <v>340</v>
      </c>
      <c r="H70">
        <v>0.99999994039535522</v>
      </c>
    </row>
    <row r="71" spans="1:8" x14ac:dyDescent="0.3">
      <c r="A71" s="1">
        <v>69</v>
      </c>
      <c r="B71" t="s">
        <v>342</v>
      </c>
      <c r="C71" t="s">
        <v>343</v>
      </c>
      <c r="D71" t="s">
        <v>344</v>
      </c>
      <c r="E71">
        <v>0.16666666666666671</v>
      </c>
      <c r="F71" t="s">
        <v>345</v>
      </c>
      <c r="G71" t="s">
        <v>346</v>
      </c>
      <c r="H71">
        <v>0.79851973056793213</v>
      </c>
    </row>
    <row r="72" spans="1:8" x14ac:dyDescent="0.3">
      <c r="A72" s="1">
        <v>70</v>
      </c>
      <c r="B72" t="s">
        <v>347</v>
      </c>
      <c r="C72" t="s">
        <v>348</v>
      </c>
      <c r="D72" t="s">
        <v>660</v>
      </c>
      <c r="E72">
        <v>0.42857142857142849</v>
      </c>
      <c r="F72" t="s">
        <v>350</v>
      </c>
      <c r="G72" t="s">
        <v>350</v>
      </c>
      <c r="H72">
        <v>1</v>
      </c>
    </row>
    <row r="73" spans="1:8" x14ac:dyDescent="0.3">
      <c r="A73" s="1">
        <v>71</v>
      </c>
      <c r="B73" t="s">
        <v>352</v>
      </c>
      <c r="C73" t="s">
        <v>353</v>
      </c>
      <c r="D73" t="s">
        <v>353</v>
      </c>
      <c r="E73">
        <v>0</v>
      </c>
      <c r="F73" t="s">
        <v>355</v>
      </c>
      <c r="G73" t="s">
        <v>355</v>
      </c>
      <c r="H73">
        <v>1.00000011920929</v>
      </c>
    </row>
    <row r="74" spans="1:8" x14ac:dyDescent="0.3">
      <c r="A74" s="1">
        <v>72</v>
      </c>
      <c r="B74" t="s">
        <v>357</v>
      </c>
      <c r="C74" t="s">
        <v>358</v>
      </c>
      <c r="D74" t="s">
        <v>358</v>
      </c>
      <c r="E74">
        <v>0</v>
      </c>
      <c r="F74" t="s">
        <v>359</v>
      </c>
      <c r="G74" t="s">
        <v>359</v>
      </c>
      <c r="H74">
        <v>1.00000011920929</v>
      </c>
    </row>
    <row r="75" spans="1:8" x14ac:dyDescent="0.3">
      <c r="A75" s="1">
        <v>73</v>
      </c>
      <c r="B75" t="s">
        <v>360</v>
      </c>
      <c r="C75" t="s">
        <v>361</v>
      </c>
      <c r="D75" t="s">
        <v>661</v>
      </c>
      <c r="E75">
        <v>0.25</v>
      </c>
      <c r="F75" t="s">
        <v>363</v>
      </c>
      <c r="G75" t="s">
        <v>363</v>
      </c>
      <c r="H75">
        <v>1</v>
      </c>
    </row>
    <row r="76" spans="1:8" x14ac:dyDescent="0.3">
      <c r="A76" s="1">
        <v>74</v>
      </c>
      <c r="B76" t="s">
        <v>365</v>
      </c>
      <c r="C76" t="s">
        <v>366</v>
      </c>
      <c r="D76" t="s">
        <v>366</v>
      </c>
      <c r="E76">
        <v>0</v>
      </c>
      <c r="F76" t="s">
        <v>368</v>
      </c>
      <c r="G76" t="s">
        <v>368</v>
      </c>
      <c r="H76">
        <v>1</v>
      </c>
    </row>
    <row r="77" spans="1:8" x14ac:dyDescent="0.3">
      <c r="A77" s="1">
        <v>75</v>
      </c>
      <c r="B77" t="s">
        <v>370</v>
      </c>
      <c r="C77" t="s">
        <v>371</v>
      </c>
      <c r="D77" t="s">
        <v>662</v>
      </c>
      <c r="E77">
        <v>0.25</v>
      </c>
      <c r="F77" t="s">
        <v>373</v>
      </c>
      <c r="G77" t="s">
        <v>373</v>
      </c>
      <c r="H77">
        <v>1</v>
      </c>
    </row>
    <row r="78" spans="1:8" x14ac:dyDescent="0.3">
      <c r="A78" s="1">
        <v>76</v>
      </c>
      <c r="B78" t="s">
        <v>375</v>
      </c>
      <c r="C78" t="s">
        <v>376</v>
      </c>
      <c r="D78" t="s">
        <v>663</v>
      </c>
      <c r="E78">
        <v>0.75</v>
      </c>
      <c r="F78" t="s">
        <v>378</v>
      </c>
      <c r="G78" t="s">
        <v>664</v>
      </c>
      <c r="H78">
        <v>0.83503836393356323</v>
      </c>
    </row>
    <row r="79" spans="1:8" x14ac:dyDescent="0.3">
      <c r="A79" s="1">
        <v>77</v>
      </c>
      <c r="B79" t="s">
        <v>380</v>
      </c>
      <c r="C79" t="s">
        <v>381</v>
      </c>
      <c r="D79" t="s">
        <v>665</v>
      </c>
      <c r="E79">
        <v>1</v>
      </c>
      <c r="F79" t="s">
        <v>383</v>
      </c>
      <c r="G79" t="s">
        <v>666</v>
      </c>
      <c r="H79">
        <v>0.24166867136955261</v>
      </c>
    </row>
    <row r="80" spans="1:8" x14ac:dyDescent="0.3">
      <c r="A80" s="1">
        <v>78</v>
      </c>
      <c r="B80" t="s">
        <v>385</v>
      </c>
      <c r="C80" t="s">
        <v>386</v>
      </c>
      <c r="D80" t="s">
        <v>667</v>
      </c>
      <c r="E80">
        <v>0.5</v>
      </c>
      <c r="F80" t="s">
        <v>388</v>
      </c>
      <c r="G80" t="s">
        <v>668</v>
      </c>
      <c r="H80">
        <v>0.26109665632247919</v>
      </c>
    </row>
    <row r="81" spans="1:8" x14ac:dyDescent="0.3">
      <c r="A81" s="1">
        <v>79</v>
      </c>
      <c r="B81" t="s">
        <v>390</v>
      </c>
      <c r="C81" t="s">
        <v>391</v>
      </c>
      <c r="D81" t="s">
        <v>669</v>
      </c>
      <c r="E81">
        <v>0.33333333333333331</v>
      </c>
      <c r="F81" t="s">
        <v>393</v>
      </c>
      <c r="G81" t="s">
        <v>670</v>
      </c>
      <c r="H81">
        <v>0.53660047054290771</v>
      </c>
    </row>
    <row r="82" spans="1:8" x14ac:dyDescent="0.3">
      <c r="A82" s="1">
        <v>80</v>
      </c>
      <c r="B82" t="s">
        <v>395</v>
      </c>
      <c r="C82" t="s">
        <v>396</v>
      </c>
      <c r="D82" t="s">
        <v>671</v>
      </c>
      <c r="E82">
        <v>0.33333333333333331</v>
      </c>
      <c r="F82" t="s">
        <v>398</v>
      </c>
      <c r="G82" t="s">
        <v>398</v>
      </c>
      <c r="H82">
        <v>1</v>
      </c>
    </row>
    <row r="83" spans="1:8" x14ac:dyDescent="0.3">
      <c r="A83" s="1">
        <v>81</v>
      </c>
      <c r="B83" t="s">
        <v>399</v>
      </c>
      <c r="C83" t="s">
        <v>400</v>
      </c>
      <c r="D83" t="s">
        <v>672</v>
      </c>
      <c r="E83">
        <v>0.14285714285714279</v>
      </c>
      <c r="F83" t="s">
        <v>402</v>
      </c>
      <c r="G83" t="s">
        <v>402</v>
      </c>
      <c r="H83">
        <v>1</v>
      </c>
    </row>
    <row r="84" spans="1:8" x14ac:dyDescent="0.3">
      <c r="A84" s="1">
        <v>82</v>
      </c>
      <c r="B84" t="s">
        <v>404</v>
      </c>
      <c r="C84" t="s">
        <v>405</v>
      </c>
      <c r="D84" t="s">
        <v>673</v>
      </c>
      <c r="E84">
        <v>1.25</v>
      </c>
      <c r="F84" t="s">
        <v>406</v>
      </c>
      <c r="G84" t="s">
        <v>674</v>
      </c>
      <c r="H84">
        <v>0.98480850458145142</v>
      </c>
    </row>
    <row r="85" spans="1:8" x14ac:dyDescent="0.3">
      <c r="A85" s="1">
        <v>83</v>
      </c>
      <c r="B85" t="s">
        <v>407</v>
      </c>
      <c r="C85" t="s">
        <v>408</v>
      </c>
      <c r="D85" t="s">
        <v>408</v>
      </c>
      <c r="E85">
        <v>0</v>
      </c>
      <c r="F85" t="s">
        <v>410</v>
      </c>
      <c r="G85" t="s">
        <v>410</v>
      </c>
      <c r="H85">
        <v>1</v>
      </c>
    </row>
    <row r="86" spans="1:8" x14ac:dyDescent="0.3">
      <c r="A86" s="1">
        <v>84</v>
      </c>
      <c r="B86" t="s">
        <v>412</v>
      </c>
      <c r="C86" t="s">
        <v>413</v>
      </c>
      <c r="D86" t="s">
        <v>413</v>
      </c>
      <c r="E86">
        <v>0</v>
      </c>
      <c r="F86" t="s">
        <v>415</v>
      </c>
      <c r="G86" t="s">
        <v>415</v>
      </c>
      <c r="H86">
        <v>1.00000011920929</v>
      </c>
    </row>
    <row r="87" spans="1:8" x14ac:dyDescent="0.3">
      <c r="A87" s="1">
        <v>85</v>
      </c>
      <c r="B87" t="s">
        <v>417</v>
      </c>
      <c r="C87" t="s">
        <v>418</v>
      </c>
      <c r="D87" t="s">
        <v>418</v>
      </c>
      <c r="E87">
        <v>0</v>
      </c>
      <c r="F87" t="s">
        <v>420</v>
      </c>
      <c r="G87" t="s">
        <v>420</v>
      </c>
      <c r="H87">
        <v>1</v>
      </c>
    </row>
    <row r="88" spans="1:8" x14ac:dyDescent="0.3">
      <c r="A88" s="1">
        <v>86</v>
      </c>
      <c r="B88" t="s">
        <v>422</v>
      </c>
      <c r="C88" t="s">
        <v>423</v>
      </c>
      <c r="D88" t="s">
        <v>675</v>
      </c>
      <c r="E88">
        <v>0.25</v>
      </c>
      <c r="F88" t="s">
        <v>425</v>
      </c>
      <c r="G88" t="s">
        <v>425</v>
      </c>
      <c r="H88">
        <v>1.0000002384185791</v>
      </c>
    </row>
    <row r="89" spans="1:8" x14ac:dyDescent="0.3">
      <c r="A89" s="1">
        <v>87</v>
      </c>
      <c r="B89" t="s">
        <v>426</v>
      </c>
      <c r="C89" t="s">
        <v>427</v>
      </c>
      <c r="D89" t="s">
        <v>427</v>
      </c>
      <c r="E89">
        <v>0</v>
      </c>
      <c r="F89" t="s">
        <v>429</v>
      </c>
      <c r="G89" t="s">
        <v>429</v>
      </c>
      <c r="H89">
        <v>1.0000002384185791</v>
      </c>
    </row>
    <row r="90" spans="1:8" x14ac:dyDescent="0.3">
      <c r="A90" s="1">
        <v>88</v>
      </c>
      <c r="B90" t="s">
        <v>431</v>
      </c>
      <c r="C90" t="s">
        <v>432</v>
      </c>
      <c r="D90" t="s">
        <v>432</v>
      </c>
      <c r="E90">
        <v>0</v>
      </c>
      <c r="F90" t="s">
        <v>434</v>
      </c>
      <c r="G90" t="s">
        <v>434</v>
      </c>
      <c r="H90">
        <v>1.0000002384185791</v>
      </c>
    </row>
    <row r="91" spans="1:8" x14ac:dyDescent="0.3">
      <c r="A91" s="1">
        <v>89</v>
      </c>
      <c r="B91" t="s">
        <v>436</v>
      </c>
      <c r="C91" t="s">
        <v>437</v>
      </c>
      <c r="D91" t="s">
        <v>437</v>
      </c>
      <c r="E91">
        <v>0</v>
      </c>
      <c r="F91" t="s">
        <v>439</v>
      </c>
      <c r="G91" t="s">
        <v>439</v>
      </c>
      <c r="H91">
        <v>0.9999997615814209</v>
      </c>
    </row>
    <row r="92" spans="1:8" x14ac:dyDescent="0.3">
      <c r="A92" s="1">
        <v>90</v>
      </c>
      <c r="B92" t="s">
        <v>441</v>
      </c>
      <c r="C92" t="s">
        <v>442</v>
      </c>
      <c r="D92" t="s">
        <v>676</v>
      </c>
      <c r="E92">
        <v>0.6</v>
      </c>
      <c r="F92" t="s">
        <v>444</v>
      </c>
      <c r="G92" t="s">
        <v>677</v>
      </c>
      <c r="H92">
        <v>0.67245244979858398</v>
      </c>
    </row>
    <row r="93" spans="1:8" x14ac:dyDescent="0.3">
      <c r="A93" s="1">
        <v>91</v>
      </c>
      <c r="B93" t="s">
        <v>446</v>
      </c>
      <c r="C93" t="s">
        <v>447</v>
      </c>
      <c r="D93" t="s">
        <v>447</v>
      </c>
      <c r="E93">
        <v>0</v>
      </c>
      <c r="F93" t="s">
        <v>449</v>
      </c>
      <c r="G93" t="s">
        <v>449</v>
      </c>
      <c r="H93">
        <v>0.99999988079071045</v>
      </c>
    </row>
    <row r="94" spans="1:8" x14ac:dyDescent="0.3">
      <c r="A94" s="1">
        <v>92</v>
      </c>
      <c r="B94" t="s">
        <v>451</v>
      </c>
      <c r="C94" t="s">
        <v>452</v>
      </c>
      <c r="D94" t="s">
        <v>678</v>
      </c>
      <c r="E94">
        <v>1</v>
      </c>
      <c r="F94" t="s">
        <v>454</v>
      </c>
      <c r="G94" t="s">
        <v>679</v>
      </c>
      <c r="H94">
        <v>0.86750668287277222</v>
      </c>
    </row>
    <row r="95" spans="1:8" x14ac:dyDescent="0.3">
      <c r="A95" s="1">
        <v>93</v>
      </c>
      <c r="B95" t="s">
        <v>456</v>
      </c>
      <c r="C95" t="s">
        <v>457</v>
      </c>
      <c r="D95" t="s">
        <v>680</v>
      </c>
      <c r="E95">
        <v>0.25</v>
      </c>
      <c r="F95" t="s">
        <v>459</v>
      </c>
      <c r="G95" t="s">
        <v>459</v>
      </c>
      <c r="H95">
        <v>1.00000011920929</v>
      </c>
    </row>
    <row r="96" spans="1:8" x14ac:dyDescent="0.3">
      <c r="A96" s="1">
        <v>94</v>
      </c>
      <c r="B96" t="s">
        <v>461</v>
      </c>
      <c r="C96" t="s">
        <v>681</v>
      </c>
      <c r="D96" t="s">
        <v>682</v>
      </c>
      <c r="E96">
        <v>0.66666666666666663</v>
      </c>
      <c r="F96" t="s">
        <v>464</v>
      </c>
      <c r="G96" t="s">
        <v>683</v>
      </c>
      <c r="H96">
        <v>0.46461623907089228</v>
      </c>
    </row>
    <row r="97" spans="1:8" x14ac:dyDescent="0.3">
      <c r="A97" s="1">
        <v>95</v>
      </c>
      <c r="B97" t="s">
        <v>466</v>
      </c>
      <c r="C97" t="s">
        <v>467</v>
      </c>
      <c r="D97" t="s">
        <v>467</v>
      </c>
      <c r="E97">
        <v>0</v>
      </c>
      <c r="F97" t="s">
        <v>469</v>
      </c>
      <c r="G97" t="s">
        <v>469</v>
      </c>
      <c r="H97">
        <v>1.0000002384185791</v>
      </c>
    </row>
    <row r="98" spans="1:8" x14ac:dyDescent="0.3">
      <c r="A98" s="1">
        <v>96</v>
      </c>
      <c r="B98" t="s">
        <v>471</v>
      </c>
      <c r="C98" t="s">
        <v>472</v>
      </c>
      <c r="D98" t="s">
        <v>472</v>
      </c>
      <c r="E98">
        <v>0</v>
      </c>
      <c r="F98" t="s">
        <v>474</v>
      </c>
      <c r="G98" t="s">
        <v>474</v>
      </c>
      <c r="H98">
        <v>1</v>
      </c>
    </row>
    <row r="99" spans="1:8" x14ac:dyDescent="0.3">
      <c r="A99" s="1">
        <v>97</v>
      </c>
      <c r="B99" t="s">
        <v>476</v>
      </c>
      <c r="C99" t="s">
        <v>477</v>
      </c>
      <c r="D99" t="s">
        <v>477</v>
      </c>
      <c r="E99">
        <v>0</v>
      </c>
      <c r="F99" t="s">
        <v>478</v>
      </c>
      <c r="G99" t="s">
        <v>478</v>
      </c>
      <c r="H99">
        <v>1.00000011920929</v>
      </c>
    </row>
    <row r="100" spans="1:8" x14ac:dyDescent="0.3">
      <c r="A100" s="1">
        <v>98</v>
      </c>
      <c r="B100" t="s">
        <v>479</v>
      </c>
      <c r="C100" t="s">
        <v>480</v>
      </c>
      <c r="D100" t="s">
        <v>684</v>
      </c>
      <c r="E100">
        <v>0.25</v>
      </c>
      <c r="F100" t="s">
        <v>482</v>
      </c>
      <c r="G100" t="s">
        <v>482</v>
      </c>
      <c r="H100">
        <v>1</v>
      </c>
    </row>
    <row r="101" spans="1:8" x14ac:dyDescent="0.3">
      <c r="A101" s="1">
        <v>99</v>
      </c>
      <c r="B101" t="s">
        <v>484</v>
      </c>
      <c r="C101" t="s">
        <v>485</v>
      </c>
      <c r="D101" t="s">
        <v>485</v>
      </c>
      <c r="E101">
        <v>0</v>
      </c>
      <c r="F101" t="s">
        <v>487</v>
      </c>
      <c r="G101" t="s">
        <v>487</v>
      </c>
      <c r="H101">
        <v>1.0000002384185791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035B6-F535-41B6-A81A-8B7E05BECF26}">
  <dimension ref="A1:P101"/>
  <sheetViews>
    <sheetView tabSelected="1" topLeftCell="D1" workbookViewId="0">
      <selection activeCell="N22" sqref="N22"/>
    </sheetView>
  </sheetViews>
  <sheetFormatPr defaultRowHeight="14.4" x14ac:dyDescent="0.3"/>
  <cols>
    <col min="1" max="1" width="15" customWidth="1"/>
    <col min="2" max="2" width="20.88671875" style="5" customWidth="1"/>
    <col min="3" max="3" width="20.88671875" style="6" customWidth="1"/>
    <col min="4" max="4" width="25.44140625" style="16" customWidth="1"/>
    <col min="5" max="5" width="20.6640625" style="6" customWidth="1"/>
    <col min="6" max="6" width="21.109375" style="6" customWidth="1"/>
    <col min="7" max="7" width="13.21875" customWidth="1"/>
    <col min="8" max="8" width="14.77734375" style="15" customWidth="1"/>
    <col min="9" max="9" width="22.6640625" customWidth="1"/>
    <col min="10" max="10" width="25.44140625" customWidth="1"/>
    <col min="11" max="11" width="32" style="15" customWidth="1"/>
    <col min="13" max="13" width="27.88671875" customWidth="1"/>
    <col min="14" max="14" width="15.33203125" customWidth="1"/>
    <col min="15" max="15" width="18.88671875" customWidth="1"/>
    <col min="16" max="16" width="17.21875" customWidth="1"/>
  </cols>
  <sheetData>
    <row r="1" spans="1:16" ht="15" thickBot="1" x14ac:dyDescent="0.35">
      <c r="A1" s="3" t="s">
        <v>572</v>
      </c>
      <c r="B1" s="4" t="s">
        <v>573</v>
      </c>
      <c r="C1" s="3" t="s">
        <v>576</v>
      </c>
      <c r="D1" s="14" t="s">
        <v>686</v>
      </c>
      <c r="E1" s="3" t="s">
        <v>574</v>
      </c>
      <c r="F1" s="3" t="s">
        <v>575</v>
      </c>
      <c r="G1" s="3" t="s">
        <v>577</v>
      </c>
      <c r="H1" s="14" t="s">
        <v>687</v>
      </c>
      <c r="I1" s="4" t="s">
        <v>583</v>
      </c>
      <c r="J1" s="10" t="s">
        <v>584</v>
      </c>
      <c r="K1" s="17" t="s">
        <v>688</v>
      </c>
    </row>
    <row r="2" spans="1:16" x14ac:dyDescent="0.3">
      <c r="A2">
        <f>'whisper-base'!E2</f>
        <v>1</v>
      </c>
      <c r="B2" s="5">
        <f>'whisper-large-v3'!E2</f>
        <v>0.66666666666666663</v>
      </c>
      <c r="C2" s="6">
        <f>B2-A2</f>
        <v>-0.33333333333333337</v>
      </c>
      <c r="D2" s="16">
        <f>wav2vec2_arabic!E2</f>
        <v>0.33333333333333331</v>
      </c>
      <c r="E2" s="6">
        <f>'whisper-base'!H2</f>
        <v>0.1002430841326714</v>
      </c>
      <c r="F2" s="6">
        <f>'whisper-large-v3'!H2</f>
        <v>0.31530749797821039</v>
      </c>
      <c r="G2">
        <f>F2-E2</f>
        <v>0.21506441384553898</v>
      </c>
      <c r="H2" s="15">
        <f>wav2vec2_arabic!H3</f>
        <v>1.0000002384185791</v>
      </c>
      <c r="I2">
        <f>IF(E2&gt;=0.75, 1, 0)</f>
        <v>0</v>
      </c>
      <c r="J2">
        <f>IF(F2&gt;=0.75, 1, 0)</f>
        <v>0</v>
      </c>
      <c r="K2" s="15">
        <f>IF(H2&gt;=0.75, 1, 0)</f>
        <v>1</v>
      </c>
    </row>
    <row r="3" spans="1:16" x14ac:dyDescent="0.3">
      <c r="A3">
        <f>'whisper-base'!E3</f>
        <v>1</v>
      </c>
      <c r="B3" s="5">
        <f>'whisper-large-v3'!E3</f>
        <v>0.66666666666666663</v>
      </c>
      <c r="C3" s="6">
        <f t="shared" ref="C3:C66" si="0">B3-A3</f>
        <v>-0.33333333333333337</v>
      </c>
      <c r="D3" s="16">
        <f>wav2vec2_arabic!E3</f>
        <v>0.66666666666666663</v>
      </c>
      <c r="E3" s="6">
        <f>'whisper-base'!H3</f>
        <v>0.58972597122192383</v>
      </c>
      <c r="F3" s="6">
        <f>'whisper-large-v3'!H3</f>
        <v>1.0000002384185791</v>
      </c>
      <c r="G3">
        <f t="shared" ref="G3:G66" si="1">F3-E3</f>
        <v>0.41027426719665527</v>
      </c>
      <c r="H3" s="15">
        <f>wav2vec2_arabic!H4</f>
        <v>1.0000002384185791</v>
      </c>
      <c r="I3">
        <f t="shared" ref="I3:I66" si="2">IF(E3&gt;=0.75, 1, 0)</f>
        <v>0</v>
      </c>
      <c r="J3">
        <f t="shared" ref="J3:J66" si="3">IF(F3&gt;=0.75, 1, 0)</f>
        <v>1</v>
      </c>
      <c r="K3" s="15">
        <f t="shared" ref="K3:K66" si="4">IF(H3&gt;=0.75, 1, 0)</f>
        <v>1</v>
      </c>
    </row>
    <row r="4" spans="1:16" x14ac:dyDescent="0.3">
      <c r="A4">
        <f>'whisper-base'!E4</f>
        <v>74</v>
      </c>
      <c r="B4" s="5">
        <f>'whisper-large-v3'!E4</f>
        <v>0</v>
      </c>
      <c r="C4" s="6">
        <f t="shared" si="0"/>
        <v>-74</v>
      </c>
      <c r="D4" s="16">
        <f>wav2vec2_arabic!E4</f>
        <v>0.66666666666666663</v>
      </c>
      <c r="E4" s="6">
        <f>'whisper-base'!H4</f>
        <v>0.21664923429489141</v>
      </c>
      <c r="F4" s="6">
        <f>'whisper-large-v3'!H4</f>
        <v>1.0000002384185791</v>
      </c>
      <c r="G4">
        <f t="shared" si="1"/>
        <v>0.78335100412368774</v>
      </c>
      <c r="H4" s="15">
        <f>wav2vec2_arabic!H5</f>
        <v>4.1545651853084557E-2</v>
      </c>
      <c r="I4">
        <f t="shared" si="2"/>
        <v>0</v>
      </c>
      <c r="J4">
        <f t="shared" si="3"/>
        <v>1</v>
      </c>
      <c r="K4" s="15">
        <f t="shared" si="4"/>
        <v>0</v>
      </c>
    </row>
    <row r="5" spans="1:16" x14ac:dyDescent="0.3">
      <c r="A5">
        <f>'whisper-base'!E5</f>
        <v>0.83333333333333337</v>
      </c>
      <c r="B5" s="5">
        <f>'whisper-large-v3'!E5</f>
        <v>0.83333333333333337</v>
      </c>
      <c r="C5" s="6">
        <f t="shared" si="0"/>
        <v>0</v>
      </c>
      <c r="D5" s="16">
        <f>wav2vec2_arabic!E5</f>
        <v>1</v>
      </c>
      <c r="E5" s="6">
        <f>'whisper-base'!H5</f>
        <v>0.1188329309225082</v>
      </c>
      <c r="F5" s="6">
        <f>'whisper-large-v3'!H5</f>
        <v>2.5657029822468761E-2</v>
      </c>
      <c r="G5">
        <f t="shared" si="1"/>
        <v>-9.317590110003944E-2</v>
      </c>
      <c r="H5" s="15">
        <f>wav2vec2_arabic!H6</f>
        <v>1</v>
      </c>
      <c r="I5">
        <f t="shared" si="2"/>
        <v>0</v>
      </c>
      <c r="J5">
        <f t="shared" si="3"/>
        <v>0</v>
      </c>
      <c r="K5" s="15">
        <f t="shared" si="4"/>
        <v>1</v>
      </c>
    </row>
    <row r="6" spans="1:16" x14ac:dyDescent="0.3">
      <c r="A6">
        <f>'whisper-base'!E6</f>
        <v>0.625</v>
      </c>
      <c r="B6" s="5">
        <f>'whisper-large-v3'!E6</f>
        <v>0</v>
      </c>
      <c r="C6" s="6">
        <f t="shared" si="0"/>
        <v>-0.625</v>
      </c>
      <c r="D6" s="16">
        <f>wav2vec2_arabic!E6</f>
        <v>0.125</v>
      </c>
      <c r="E6" s="6">
        <f>'whisper-base'!H6</f>
        <v>0.72776049375534058</v>
      </c>
      <c r="F6" s="6">
        <f>'whisper-large-v3'!H6</f>
        <v>1</v>
      </c>
      <c r="G6">
        <f t="shared" si="1"/>
        <v>0.27223950624465942</v>
      </c>
      <c r="H6" s="15">
        <f>wav2vec2_arabic!H7</f>
        <v>1</v>
      </c>
      <c r="I6">
        <f t="shared" si="2"/>
        <v>0</v>
      </c>
      <c r="J6">
        <f t="shared" si="3"/>
        <v>1</v>
      </c>
      <c r="K6" s="15">
        <f t="shared" si="4"/>
        <v>1</v>
      </c>
      <c r="N6" s="2" t="s">
        <v>578</v>
      </c>
    </row>
    <row r="7" spans="1:16" x14ac:dyDescent="0.3">
      <c r="A7">
        <f>'whisper-base'!E7</f>
        <v>0.2857142857142857</v>
      </c>
      <c r="B7" s="5">
        <f>'whisper-large-v3'!E7</f>
        <v>0.2857142857142857</v>
      </c>
      <c r="C7" s="6">
        <f t="shared" si="0"/>
        <v>0</v>
      </c>
      <c r="D7" s="16">
        <f>wav2vec2_arabic!E7</f>
        <v>0.14285714285714279</v>
      </c>
      <c r="E7" s="6">
        <f>'whisper-base'!H7</f>
        <v>1</v>
      </c>
      <c r="F7" s="6">
        <f>'whisper-large-v3'!H7</f>
        <v>1</v>
      </c>
      <c r="G7">
        <f t="shared" si="1"/>
        <v>0</v>
      </c>
      <c r="H7" s="15">
        <f>wav2vec2_arabic!H8</f>
        <v>0.75318223237991333</v>
      </c>
      <c r="I7">
        <f t="shared" si="2"/>
        <v>1</v>
      </c>
      <c r="J7">
        <f t="shared" si="3"/>
        <v>1</v>
      </c>
      <c r="K7" s="15">
        <f t="shared" si="4"/>
        <v>1</v>
      </c>
    </row>
    <row r="8" spans="1:16" x14ac:dyDescent="0.3">
      <c r="A8">
        <f>'whisper-base'!E8</f>
        <v>0.5</v>
      </c>
      <c r="B8" s="5">
        <f>'whisper-large-v3'!E8</f>
        <v>1</v>
      </c>
      <c r="C8" s="6">
        <f t="shared" si="0"/>
        <v>0.5</v>
      </c>
      <c r="D8" s="16">
        <f>wav2vec2_arabic!E8</f>
        <v>1</v>
      </c>
      <c r="E8" s="6">
        <f>'whisper-base'!H8</f>
        <v>0.99999994039535522</v>
      </c>
      <c r="F8" s="6">
        <f>'whisper-large-v3'!H8</f>
        <v>9.5533039420843124E-3</v>
      </c>
      <c r="G8">
        <f t="shared" si="1"/>
        <v>-0.99044663645327091</v>
      </c>
      <c r="H8" s="15">
        <f>wav2vec2_arabic!H9</f>
        <v>0.99999994039535522</v>
      </c>
      <c r="I8">
        <f t="shared" si="2"/>
        <v>1</v>
      </c>
      <c r="J8">
        <f t="shared" si="3"/>
        <v>0</v>
      </c>
      <c r="K8" s="15">
        <f t="shared" si="4"/>
        <v>1</v>
      </c>
      <c r="N8" s="9" t="s">
        <v>579</v>
      </c>
      <c r="O8" s="9" t="s">
        <v>580</v>
      </c>
      <c r="P8" s="9" t="s">
        <v>689</v>
      </c>
    </row>
    <row r="9" spans="1:16" ht="28.8" x14ac:dyDescent="0.3">
      <c r="A9">
        <f>'whisper-base'!E9</f>
        <v>0.8</v>
      </c>
      <c r="B9" s="5">
        <f>'whisper-large-v3'!E9</f>
        <v>0</v>
      </c>
      <c r="C9" s="6">
        <f t="shared" si="0"/>
        <v>-0.8</v>
      </c>
      <c r="D9" s="16">
        <f>wav2vec2_arabic!E9</f>
        <v>0</v>
      </c>
      <c r="E9" s="6">
        <f>'whisper-base'!H9</f>
        <v>0.18284463882446289</v>
      </c>
      <c r="F9" s="6">
        <f>'whisper-large-v3'!H9</f>
        <v>0.99999994039535522</v>
      </c>
      <c r="G9">
        <f t="shared" si="1"/>
        <v>0.81715530157089233</v>
      </c>
      <c r="H9" s="15">
        <f>wav2vec2_arabic!H10</f>
        <v>0.97012150287628174</v>
      </c>
      <c r="I9">
        <f>IF(E9&gt;=0.75, 1, 0)</f>
        <v>0</v>
      </c>
      <c r="J9">
        <f t="shared" si="3"/>
        <v>1</v>
      </c>
      <c r="K9" s="15">
        <f t="shared" si="4"/>
        <v>1</v>
      </c>
      <c r="M9" s="7" t="s">
        <v>582</v>
      </c>
      <c r="N9" s="11">
        <f>AVERAGE(A2:A101)</f>
        <v>2.4656178266178266</v>
      </c>
      <c r="O9" s="12">
        <f>AVERAGE(B2:B101)</f>
        <v>0.2730241147741147</v>
      </c>
      <c r="P9" s="8">
        <f>AVERAGE(D2:D101)</f>
        <v>0.31215109890109888</v>
      </c>
    </row>
    <row r="10" spans="1:16" x14ac:dyDescent="0.3">
      <c r="A10">
        <f>'whisper-base'!E10</f>
        <v>1</v>
      </c>
      <c r="B10" s="5">
        <f>'whisper-large-v3'!E10</f>
        <v>0.66666666666666663</v>
      </c>
      <c r="C10" s="6">
        <f t="shared" si="0"/>
        <v>-0.33333333333333337</v>
      </c>
      <c r="D10" s="16">
        <f>wav2vec2_arabic!E10</f>
        <v>0.33333333333333331</v>
      </c>
      <c r="E10" s="6">
        <f>'whisper-base'!H10</f>
        <v>0.19802939891815191</v>
      </c>
      <c r="F10" s="6">
        <f>'whisper-large-v3'!H10</f>
        <v>0.2176908552646637</v>
      </c>
      <c r="G10">
        <f t="shared" si="1"/>
        <v>1.9661456346511785E-2</v>
      </c>
      <c r="H10" s="15">
        <f>wav2vec2_arabic!H11</f>
        <v>1.00000011920929</v>
      </c>
      <c r="I10">
        <f t="shared" si="2"/>
        <v>0</v>
      </c>
      <c r="J10">
        <f t="shared" si="3"/>
        <v>0</v>
      </c>
      <c r="K10" s="15">
        <f t="shared" si="4"/>
        <v>1</v>
      </c>
      <c r="M10" s="7" t="s">
        <v>581</v>
      </c>
      <c r="N10" s="11">
        <f>AVERAGE(E2:E101)</f>
        <v>0.4486280328221619</v>
      </c>
      <c r="O10" s="12">
        <f>AVERAGE(F2:F101)</f>
        <v>0.82748323086649178</v>
      </c>
      <c r="P10" s="8">
        <f>AVERAGE(H2:H101)</f>
        <v>0.82001699712127452</v>
      </c>
    </row>
    <row r="11" spans="1:16" ht="43.2" x14ac:dyDescent="0.3">
      <c r="A11">
        <f>'whisper-base'!E11</f>
        <v>0.6</v>
      </c>
      <c r="B11" s="5">
        <f>'whisper-large-v3'!E11</f>
        <v>0</v>
      </c>
      <c r="C11" s="6">
        <f t="shared" si="0"/>
        <v>-0.6</v>
      </c>
      <c r="D11" s="16">
        <f>wav2vec2_arabic!E11</f>
        <v>0</v>
      </c>
      <c r="E11" s="6">
        <f>'whisper-base'!H11</f>
        <v>0.74012136459350586</v>
      </c>
      <c r="F11" s="6">
        <f>'whisper-large-v3'!H11</f>
        <v>1.00000011920929</v>
      </c>
      <c r="G11">
        <f t="shared" si="1"/>
        <v>0.25987875461578414</v>
      </c>
      <c r="H11" s="15">
        <f>wav2vec2_arabic!H12</f>
        <v>1</v>
      </c>
      <c r="I11">
        <f t="shared" si="2"/>
        <v>0</v>
      </c>
      <c r="J11">
        <f t="shared" si="3"/>
        <v>1</v>
      </c>
      <c r="K11" s="15">
        <f t="shared" si="4"/>
        <v>1</v>
      </c>
      <c r="M11" s="7" t="s">
        <v>585</v>
      </c>
      <c r="N11" s="11">
        <f>AVERAGE(I2:I101)</f>
        <v>0.22</v>
      </c>
      <c r="O11" s="12">
        <f>AVERAGE(J2:J101)</f>
        <v>0.74</v>
      </c>
      <c r="P11" s="9">
        <f>AVERAGE(K2:K101)</f>
        <v>0.74</v>
      </c>
    </row>
    <row r="12" spans="1:16" x14ac:dyDescent="0.3">
      <c r="A12">
        <f>'whisper-base'!E12</f>
        <v>1.25</v>
      </c>
      <c r="B12" s="5">
        <f>'whisper-large-v3'!E12</f>
        <v>0.5</v>
      </c>
      <c r="C12" s="6">
        <f t="shared" si="0"/>
        <v>-0.75</v>
      </c>
      <c r="D12" s="16">
        <f>wav2vec2_arabic!E12</f>
        <v>0</v>
      </c>
      <c r="E12" s="6">
        <f>'whisper-base'!H12</f>
        <v>0.59055274724960327</v>
      </c>
      <c r="F12" s="6">
        <f>'whisper-large-v3'!H12</f>
        <v>0.9158700704574585</v>
      </c>
      <c r="G12">
        <f t="shared" si="1"/>
        <v>0.32531732320785522</v>
      </c>
      <c r="H12" s="15">
        <f>wav2vec2_arabic!H13</f>
        <v>1</v>
      </c>
      <c r="I12">
        <f t="shared" si="2"/>
        <v>0</v>
      </c>
      <c r="J12">
        <f t="shared" si="3"/>
        <v>1</v>
      </c>
      <c r="K12" s="15">
        <f t="shared" si="4"/>
        <v>1</v>
      </c>
    </row>
    <row r="13" spans="1:16" x14ac:dyDescent="0.3">
      <c r="A13">
        <f>'whisper-base'!E13</f>
        <v>1.5</v>
      </c>
      <c r="B13" s="5">
        <f>'whisper-large-v3'!E13</f>
        <v>0</v>
      </c>
      <c r="C13" s="6">
        <f t="shared" si="0"/>
        <v>-1.5</v>
      </c>
      <c r="D13" s="16">
        <f>wav2vec2_arabic!E13</f>
        <v>0.5</v>
      </c>
      <c r="E13" s="6">
        <f>'whisper-base'!H13</f>
        <v>0.26416093111038208</v>
      </c>
      <c r="F13" s="6">
        <f>'whisper-large-v3'!H13</f>
        <v>1</v>
      </c>
      <c r="G13">
        <f t="shared" si="1"/>
        <v>0.73583906888961792</v>
      </c>
      <c r="H13" s="15">
        <f>wav2vec2_arabic!H14</f>
        <v>1.00000011920929</v>
      </c>
      <c r="I13">
        <f t="shared" si="2"/>
        <v>0</v>
      </c>
      <c r="J13">
        <f t="shared" si="3"/>
        <v>1</v>
      </c>
      <c r="K13" s="15">
        <f t="shared" si="4"/>
        <v>1</v>
      </c>
    </row>
    <row r="14" spans="1:16" x14ac:dyDescent="0.3">
      <c r="A14">
        <f>'whisper-base'!E14</f>
        <v>0.5</v>
      </c>
      <c r="B14" s="5">
        <f>'whisper-large-v3'!E14</f>
        <v>0.5</v>
      </c>
      <c r="C14" s="6">
        <f t="shared" si="0"/>
        <v>0</v>
      </c>
      <c r="D14" s="16">
        <f>wav2vec2_arabic!E14</f>
        <v>0</v>
      </c>
      <c r="E14" s="6">
        <f>'whisper-base'!H14</f>
        <v>0.46012073755264282</v>
      </c>
      <c r="F14" s="6">
        <f>'whisper-large-v3'!H14</f>
        <v>1.00000011920929</v>
      </c>
      <c r="G14">
        <f t="shared" si="1"/>
        <v>0.53987938165664717</v>
      </c>
      <c r="H14" s="15">
        <f>wav2vec2_arabic!H15</f>
        <v>1.0000002384185791</v>
      </c>
      <c r="I14">
        <f t="shared" si="2"/>
        <v>0</v>
      </c>
      <c r="J14">
        <f t="shared" si="3"/>
        <v>1</v>
      </c>
      <c r="K14" s="15">
        <f t="shared" si="4"/>
        <v>1</v>
      </c>
    </row>
    <row r="15" spans="1:16" x14ac:dyDescent="0.3">
      <c r="A15">
        <f>'whisper-base'!E15</f>
        <v>0.33333333333333331</v>
      </c>
      <c r="B15" s="5">
        <f>'whisper-large-v3'!E15</f>
        <v>0</v>
      </c>
      <c r="C15" s="6">
        <f t="shared" si="0"/>
        <v>-0.33333333333333331</v>
      </c>
      <c r="D15" s="16">
        <f>wav2vec2_arabic!E15</f>
        <v>0</v>
      </c>
      <c r="E15" s="6">
        <f>'whisper-base'!H15</f>
        <v>0.4161582887172699</v>
      </c>
      <c r="F15" s="6">
        <f>'whisper-large-v3'!H15</f>
        <v>1.00000011920929</v>
      </c>
      <c r="G15">
        <f t="shared" si="1"/>
        <v>0.5838418304920201</v>
      </c>
      <c r="H15" s="15">
        <f>wav2vec2_arabic!H16</f>
        <v>0.99999988079071045</v>
      </c>
      <c r="I15">
        <f t="shared" si="2"/>
        <v>0</v>
      </c>
      <c r="J15">
        <f t="shared" si="3"/>
        <v>1</v>
      </c>
      <c r="K15" s="15">
        <f t="shared" si="4"/>
        <v>1</v>
      </c>
    </row>
    <row r="16" spans="1:16" x14ac:dyDescent="0.3">
      <c r="A16">
        <f>'whisper-base'!E16</f>
        <v>1</v>
      </c>
      <c r="B16" s="5">
        <f>'whisper-large-v3'!E16</f>
        <v>0</v>
      </c>
      <c r="C16" s="6">
        <f t="shared" si="0"/>
        <v>-1</v>
      </c>
      <c r="D16" s="16">
        <f>wav2vec2_arabic!E16</f>
        <v>0</v>
      </c>
      <c r="E16" s="6">
        <f>'whisper-base'!H16</f>
        <v>0.46657714247703552</v>
      </c>
      <c r="F16" s="6">
        <f>'whisper-large-v3'!H16</f>
        <v>0.99999988079071045</v>
      </c>
      <c r="G16">
        <f t="shared" si="1"/>
        <v>0.53342273831367493</v>
      </c>
      <c r="H16" s="15">
        <f>wav2vec2_arabic!H17</f>
        <v>0.99999988079071045</v>
      </c>
      <c r="I16">
        <f t="shared" si="2"/>
        <v>0</v>
      </c>
      <c r="J16">
        <f t="shared" si="3"/>
        <v>1</v>
      </c>
      <c r="K16" s="15">
        <f t="shared" si="4"/>
        <v>1</v>
      </c>
    </row>
    <row r="17" spans="1:11" x14ac:dyDescent="0.3">
      <c r="A17">
        <f>'whisper-base'!E17</f>
        <v>0.4</v>
      </c>
      <c r="B17" s="5">
        <f>'whisper-large-v3'!E17</f>
        <v>0</v>
      </c>
      <c r="C17" s="6">
        <f t="shared" si="0"/>
        <v>-0.4</v>
      </c>
      <c r="D17" s="16">
        <f>wav2vec2_arabic!E17</f>
        <v>0.2</v>
      </c>
      <c r="E17" s="6">
        <f>'whisper-base'!H17</f>
        <v>0.84347999095916748</v>
      </c>
      <c r="F17" s="6">
        <f>'whisper-large-v3'!H17</f>
        <v>0.99999988079071045</v>
      </c>
      <c r="G17">
        <f t="shared" si="1"/>
        <v>0.15651988983154297</v>
      </c>
      <c r="H17" s="15">
        <f>wav2vec2_arabic!H18</f>
        <v>0.32088717818260187</v>
      </c>
      <c r="I17">
        <f t="shared" si="2"/>
        <v>1</v>
      </c>
      <c r="J17">
        <f t="shared" si="3"/>
        <v>1</v>
      </c>
      <c r="K17" s="15">
        <f t="shared" si="4"/>
        <v>0</v>
      </c>
    </row>
    <row r="18" spans="1:11" x14ac:dyDescent="0.3">
      <c r="A18">
        <f>'whisper-base'!E18</f>
        <v>0</v>
      </c>
      <c r="B18" s="5">
        <f>'whisper-large-v3'!E18</f>
        <v>0</v>
      </c>
      <c r="C18" s="6">
        <f t="shared" si="0"/>
        <v>0</v>
      </c>
      <c r="D18" s="16">
        <f>wav2vec2_arabic!E18</f>
        <v>0.5</v>
      </c>
      <c r="E18" s="6">
        <f>'whisper-base'!H18</f>
        <v>1.0000002384185791</v>
      </c>
      <c r="F18" s="6">
        <f>'whisper-large-v3'!H18</f>
        <v>1.0000002384185791</v>
      </c>
      <c r="G18">
        <f t="shared" si="1"/>
        <v>0</v>
      </c>
      <c r="H18" s="15">
        <f>wav2vec2_arabic!H19</f>
        <v>0.99999994039535522</v>
      </c>
      <c r="I18">
        <f t="shared" si="2"/>
        <v>1</v>
      </c>
      <c r="J18">
        <f t="shared" si="3"/>
        <v>1</v>
      </c>
      <c r="K18" s="15">
        <f t="shared" si="4"/>
        <v>1</v>
      </c>
    </row>
    <row r="19" spans="1:11" x14ac:dyDescent="0.3">
      <c r="A19">
        <f>'whisper-base'!E19</f>
        <v>1</v>
      </c>
      <c r="B19" s="5">
        <f>'whisper-large-v3'!E19</f>
        <v>0.4</v>
      </c>
      <c r="C19" s="6">
        <f t="shared" si="0"/>
        <v>-0.6</v>
      </c>
      <c r="D19" s="16">
        <f>wav2vec2_arabic!E19</f>
        <v>0.2</v>
      </c>
      <c r="E19" s="6">
        <f>'whisper-base'!H19</f>
        <v>0.23220984637737269</v>
      </c>
      <c r="F19" s="6">
        <f>'whisper-large-v3'!H19</f>
        <v>0.99999994039535522</v>
      </c>
      <c r="G19">
        <f t="shared" si="1"/>
        <v>0.76779009401798248</v>
      </c>
      <c r="H19" s="15">
        <f>wav2vec2_arabic!H20</f>
        <v>0.54973769187927246</v>
      </c>
      <c r="I19">
        <f t="shared" si="2"/>
        <v>0</v>
      </c>
      <c r="J19">
        <f t="shared" si="3"/>
        <v>1</v>
      </c>
      <c r="K19" s="15">
        <f t="shared" si="4"/>
        <v>0</v>
      </c>
    </row>
    <row r="20" spans="1:11" x14ac:dyDescent="0.3">
      <c r="A20">
        <f>'whisper-base'!E20</f>
        <v>0.75</v>
      </c>
      <c r="B20" s="5">
        <f>'whisper-large-v3'!E20</f>
        <v>0.25</v>
      </c>
      <c r="C20" s="6">
        <f t="shared" si="0"/>
        <v>-0.5</v>
      </c>
      <c r="D20" s="16">
        <f>wav2vec2_arabic!E20</f>
        <v>0.5</v>
      </c>
      <c r="E20" s="6">
        <f>'whisper-base'!H20</f>
        <v>0.52792418003082275</v>
      </c>
      <c r="F20" s="6">
        <f>'whisper-large-v3'!H20</f>
        <v>0.77473193407058716</v>
      </c>
      <c r="G20">
        <f t="shared" si="1"/>
        <v>0.2468077540397644</v>
      </c>
      <c r="H20" s="15">
        <f>wav2vec2_arabic!H21</f>
        <v>1.0000002384185791</v>
      </c>
      <c r="I20">
        <f t="shared" si="2"/>
        <v>0</v>
      </c>
      <c r="J20">
        <f t="shared" si="3"/>
        <v>1</v>
      </c>
      <c r="K20" s="15">
        <f t="shared" si="4"/>
        <v>1</v>
      </c>
    </row>
    <row r="21" spans="1:11" x14ac:dyDescent="0.3">
      <c r="A21">
        <f>'whisper-base'!E21</f>
        <v>1</v>
      </c>
      <c r="B21" s="5">
        <f>'whisper-large-v3'!E21</f>
        <v>1</v>
      </c>
      <c r="C21" s="6">
        <f t="shared" si="0"/>
        <v>0</v>
      </c>
      <c r="D21" s="16">
        <f>wav2vec2_arabic!E21</f>
        <v>0</v>
      </c>
      <c r="E21" s="6">
        <f>'whisper-base'!H21</f>
        <v>0.15250527858734131</v>
      </c>
      <c r="F21" s="6">
        <f>'whisper-large-v3'!H21</f>
        <v>0.129649743437767</v>
      </c>
      <c r="G21">
        <f t="shared" si="1"/>
        <v>-2.2855535149574308E-2</v>
      </c>
      <c r="H21" s="15">
        <f>wav2vec2_arabic!H22</f>
        <v>0.90663361549377441</v>
      </c>
      <c r="I21">
        <f t="shared" si="2"/>
        <v>0</v>
      </c>
      <c r="J21">
        <f t="shared" si="3"/>
        <v>0</v>
      </c>
      <c r="K21" s="15">
        <f t="shared" si="4"/>
        <v>1</v>
      </c>
    </row>
    <row r="22" spans="1:11" x14ac:dyDescent="0.3">
      <c r="A22">
        <f>'whisper-base'!E22</f>
        <v>1</v>
      </c>
      <c r="B22" s="5">
        <f>'whisper-large-v3'!E22</f>
        <v>0.8571428571428571</v>
      </c>
      <c r="C22" s="6">
        <f t="shared" si="0"/>
        <v>-0.1428571428571429</v>
      </c>
      <c r="D22" s="16">
        <f>wav2vec2_arabic!E22</f>
        <v>0.42857142857142849</v>
      </c>
      <c r="E22" s="6">
        <f>'whisper-base'!H22</f>
        <v>1.788007095456123E-2</v>
      </c>
      <c r="F22" s="6">
        <f>'whisper-large-v3'!H22</f>
        <v>0.37579643726348883</v>
      </c>
      <c r="G22">
        <f t="shared" si="1"/>
        <v>0.35791636630892759</v>
      </c>
      <c r="H22" s="15">
        <f>wav2vec2_arabic!H23</f>
        <v>0.84008181095123291</v>
      </c>
      <c r="I22">
        <f t="shared" si="2"/>
        <v>0</v>
      </c>
      <c r="J22">
        <f t="shared" si="3"/>
        <v>0</v>
      </c>
      <c r="K22" s="15">
        <f t="shared" si="4"/>
        <v>1</v>
      </c>
    </row>
    <row r="23" spans="1:11" x14ac:dyDescent="0.3">
      <c r="A23">
        <f>'whisper-base'!E23</f>
        <v>1</v>
      </c>
      <c r="B23" s="5">
        <f>'whisper-large-v3'!E23</f>
        <v>0</v>
      </c>
      <c r="C23" s="6">
        <f t="shared" si="0"/>
        <v>-1</v>
      </c>
      <c r="D23" s="16">
        <f>wav2vec2_arabic!E23</f>
        <v>0.5</v>
      </c>
      <c r="E23" s="6">
        <f>'whisper-base'!H23</f>
        <v>0.37175759673118591</v>
      </c>
      <c r="F23" s="6">
        <f>'whisper-large-v3'!H23</f>
        <v>1.00000011920929</v>
      </c>
      <c r="G23">
        <f t="shared" si="1"/>
        <v>0.62824252247810408</v>
      </c>
      <c r="H23" s="15">
        <f>wav2vec2_arabic!H24</f>
        <v>0.9999997615814209</v>
      </c>
      <c r="I23">
        <f t="shared" si="2"/>
        <v>0</v>
      </c>
      <c r="J23">
        <f t="shared" si="3"/>
        <v>1</v>
      </c>
      <c r="K23" s="15">
        <f t="shared" si="4"/>
        <v>1</v>
      </c>
    </row>
    <row r="24" spans="1:11" x14ac:dyDescent="0.3">
      <c r="A24">
        <f>'whisper-base'!E24</f>
        <v>0.75</v>
      </c>
      <c r="B24" s="5">
        <f>'whisper-large-v3'!E24</f>
        <v>0</v>
      </c>
      <c r="C24" s="6">
        <f t="shared" si="0"/>
        <v>-0.75</v>
      </c>
      <c r="D24" s="16">
        <f>wav2vec2_arabic!E24</f>
        <v>0</v>
      </c>
      <c r="E24" s="6">
        <f>'whisper-base'!H24</f>
        <v>0.23692888021469119</v>
      </c>
      <c r="F24" s="6">
        <f>'whisper-large-v3'!H24</f>
        <v>0.9999997615814209</v>
      </c>
      <c r="G24">
        <f t="shared" si="1"/>
        <v>0.76307088136672974</v>
      </c>
      <c r="H24" s="15">
        <f>wav2vec2_arabic!H25</f>
        <v>0.31205347180366522</v>
      </c>
      <c r="I24">
        <f t="shared" si="2"/>
        <v>0</v>
      </c>
      <c r="J24">
        <f t="shared" si="3"/>
        <v>1</v>
      </c>
      <c r="K24" s="15">
        <f t="shared" si="4"/>
        <v>0</v>
      </c>
    </row>
    <row r="25" spans="1:11" x14ac:dyDescent="0.3">
      <c r="A25">
        <f>'whisper-base'!E25</f>
        <v>1.5</v>
      </c>
      <c r="B25" s="5">
        <f>'whisper-large-v3'!E25</f>
        <v>0.75</v>
      </c>
      <c r="C25" s="6">
        <f t="shared" si="0"/>
        <v>-0.75</v>
      </c>
      <c r="D25" s="16">
        <f>wav2vec2_arabic!E25</f>
        <v>0.5</v>
      </c>
      <c r="E25" s="6">
        <f>'whisper-base'!H25</f>
        <v>0.13610383868217471</v>
      </c>
      <c r="F25" s="6">
        <f>'whisper-large-v3'!H25</f>
        <v>0.74079340696334839</v>
      </c>
      <c r="G25">
        <f t="shared" si="1"/>
        <v>0.60468956828117371</v>
      </c>
      <c r="H25" s="15">
        <f>wav2vec2_arabic!H26</f>
        <v>1.0000002384185791</v>
      </c>
      <c r="I25">
        <f t="shared" si="2"/>
        <v>0</v>
      </c>
      <c r="J25">
        <f t="shared" si="3"/>
        <v>0</v>
      </c>
      <c r="K25" s="15">
        <f t="shared" si="4"/>
        <v>1</v>
      </c>
    </row>
    <row r="26" spans="1:11" x14ac:dyDescent="0.3">
      <c r="A26">
        <f>'whisper-base'!E26</f>
        <v>1</v>
      </c>
      <c r="B26" s="5">
        <f>'whisper-large-v3'!E26</f>
        <v>1</v>
      </c>
      <c r="C26" s="6">
        <f t="shared" si="0"/>
        <v>0</v>
      </c>
      <c r="D26" s="16">
        <f>wav2vec2_arabic!E26</f>
        <v>0</v>
      </c>
      <c r="E26" s="6">
        <f>'whisper-base'!H26</f>
        <v>0.12500423192977911</v>
      </c>
      <c r="F26" s="6">
        <f>'whisper-large-v3'!H26</f>
        <v>0.11797945946455</v>
      </c>
      <c r="G26">
        <f t="shared" si="1"/>
        <v>-7.0247724652291038E-3</v>
      </c>
      <c r="H26" s="15">
        <f>wav2vec2_arabic!H27</f>
        <v>0.22744505107402799</v>
      </c>
      <c r="I26">
        <f t="shared" si="2"/>
        <v>0</v>
      </c>
      <c r="J26">
        <f t="shared" si="3"/>
        <v>0</v>
      </c>
      <c r="K26" s="15">
        <f t="shared" si="4"/>
        <v>0</v>
      </c>
    </row>
    <row r="27" spans="1:11" x14ac:dyDescent="0.3">
      <c r="A27">
        <f>'whisper-base'!E27</f>
        <v>0.8</v>
      </c>
      <c r="B27" s="5">
        <f>'whisper-large-v3'!E27</f>
        <v>0.2</v>
      </c>
      <c r="C27" s="6">
        <f t="shared" si="0"/>
        <v>-0.60000000000000009</v>
      </c>
      <c r="D27" s="16">
        <f>wav2vec2_arabic!E27</f>
        <v>0.4</v>
      </c>
      <c r="E27" s="6">
        <f>'whisper-base'!H27</f>
        <v>3.3954005688428879E-2</v>
      </c>
      <c r="F27" s="6">
        <f>'whisper-large-v3'!H27</f>
        <v>0.2430822551250458</v>
      </c>
      <c r="G27">
        <f t="shared" si="1"/>
        <v>0.20912824943661693</v>
      </c>
      <c r="H27" s="15">
        <f>wav2vec2_arabic!H28</f>
        <v>5.7809960097074509E-2</v>
      </c>
      <c r="I27">
        <f t="shared" si="2"/>
        <v>0</v>
      </c>
      <c r="J27">
        <f t="shared" si="3"/>
        <v>0</v>
      </c>
      <c r="K27" s="15">
        <f t="shared" si="4"/>
        <v>0</v>
      </c>
    </row>
    <row r="28" spans="1:11" x14ac:dyDescent="0.3">
      <c r="A28">
        <f>'whisper-base'!E28</f>
        <v>1</v>
      </c>
      <c r="B28" s="5">
        <f>'whisper-large-v3'!E28</f>
        <v>0.75</v>
      </c>
      <c r="C28" s="6">
        <f t="shared" si="0"/>
        <v>-0.25</v>
      </c>
      <c r="D28" s="16">
        <f>wav2vec2_arabic!E28</f>
        <v>1</v>
      </c>
      <c r="E28" s="6">
        <f>'whisper-base'!H28</f>
        <v>-5.4810993373394012E-2</v>
      </c>
      <c r="F28" s="6">
        <f>'whisper-large-v3'!H28</f>
        <v>-3.4812513738870621E-2</v>
      </c>
      <c r="G28">
        <f t="shared" si="1"/>
        <v>1.9998479634523392E-2</v>
      </c>
      <c r="H28" s="15">
        <f>wav2vec2_arabic!H29</f>
        <v>0.82445734739303589</v>
      </c>
      <c r="I28">
        <f t="shared" si="2"/>
        <v>0</v>
      </c>
      <c r="J28">
        <f t="shared" si="3"/>
        <v>0</v>
      </c>
      <c r="K28" s="15">
        <f t="shared" si="4"/>
        <v>1</v>
      </c>
    </row>
    <row r="29" spans="1:11" x14ac:dyDescent="0.3">
      <c r="A29">
        <f>'whisper-base'!E29</f>
        <v>1</v>
      </c>
      <c r="B29" s="5">
        <f>'whisper-large-v3'!E29</f>
        <v>0.66666666666666663</v>
      </c>
      <c r="C29" s="6">
        <f t="shared" si="0"/>
        <v>-0.33333333333333337</v>
      </c>
      <c r="D29" s="16">
        <f>wav2vec2_arabic!E29</f>
        <v>0.83333333333333337</v>
      </c>
      <c r="E29" s="6">
        <f>'whisper-base'!H29</f>
        <v>0.1168616712093353</v>
      </c>
      <c r="F29" s="6">
        <f>'whisper-large-v3'!H29</f>
        <v>0.67086195945739746</v>
      </c>
      <c r="G29">
        <f t="shared" si="1"/>
        <v>0.55400028824806213</v>
      </c>
      <c r="H29" s="15">
        <f>wav2vec2_arabic!H30</f>
        <v>8.5401400923728943E-2</v>
      </c>
      <c r="I29">
        <f t="shared" si="2"/>
        <v>0</v>
      </c>
      <c r="J29">
        <f t="shared" si="3"/>
        <v>0</v>
      </c>
      <c r="K29" s="15">
        <f t="shared" si="4"/>
        <v>0</v>
      </c>
    </row>
    <row r="30" spans="1:11" x14ac:dyDescent="0.3">
      <c r="A30">
        <f>'whisper-base'!E30</f>
        <v>1</v>
      </c>
      <c r="B30" s="5">
        <f>'whisper-large-v3'!E30</f>
        <v>0.5</v>
      </c>
      <c r="C30" s="6">
        <f t="shared" si="0"/>
        <v>-0.5</v>
      </c>
      <c r="D30" s="16">
        <f>wav2vec2_arabic!E30</f>
        <v>1</v>
      </c>
      <c r="E30" s="6">
        <f>'whisper-base'!H30</f>
        <v>7.311566174030304E-2</v>
      </c>
      <c r="F30" s="6">
        <f>'whisper-large-v3'!H30</f>
        <v>0.54233396053314209</v>
      </c>
      <c r="G30">
        <f t="shared" si="1"/>
        <v>0.46921829879283905</v>
      </c>
      <c r="H30" s="15">
        <f>wav2vec2_arabic!H31</f>
        <v>0.3049854040145874</v>
      </c>
      <c r="I30">
        <f t="shared" si="2"/>
        <v>0</v>
      </c>
      <c r="J30">
        <f t="shared" si="3"/>
        <v>0</v>
      </c>
      <c r="K30" s="15">
        <f t="shared" si="4"/>
        <v>0</v>
      </c>
    </row>
    <row r="31" spans="1:11" x14ac:dyDescent="0.3">
      <c r="A31">
        <f>'whisper-base'!E31</f>
        <v>1</v>
      </c>
      <c r="B31" s="5">
        <f>'whisper-large-v3'!E31</f>
        <v>1.5</v>
      </c>
      <c r="C31" s="6">
        <f t="shared" si="0"/>
        <v>0.5</v>
      </c>
      <c r="D31" s="16">
        <f>wav2vec2_arabic!E31</f>
        <v>1</v>
      </c>
      <c r="E31" s="6">
        <f>'whisper-base'!H31</f>
        <v>0.18337370455265051</v>
      </c>
      <c r="F31" s="6">
        <f>'whisper-large-v3'!H31</f>
        <v>0.13280749320983889</v>
      </c>
      <c r="G31">
        <f t="shared" si="1"/>
        <v>-5.0566211342811612E-2</v>
      </c>
      <c r="H31" s="15">
        <f>wav2vec2_arabic!H32</f>
        <v>1.00000011920929</v>
      </c>
      <c r="I31">
        <f t="shared" si="2"/>
        <v>0</v>
      </c>
      <c r="J31">
        <f t="shared" si="3"/>
        <v>0</v>
      </c>
      <c r="K31" s="15">
        <f t="shared" si="4"/>
        <v>1</v>
      </c>
    </row>
    <row r="32" spans="1:11" x14ac:dyDescent="0.3">
      <c r="A32">
        <f>'whisper-base'!E32</f>
        <v>0</v>
      </c>
      <c r="B32" s="5">
        <f>'whisper-large-v3'!E32</f>
        <v>0</v>
      </c>
      <c r="C32" s="6">
        <f t="shared" si="0"/>
        <v>0</v>
      </c>
      <c r="D32" s="16">
        <f>wav2vec2_arabic!E32</f>
        <v>0</v>
      </c>
      <c r="E32" s="6">
        <f>'whisper-base'!H32</f>
        <v>1.00000011920929</v>
      </c>
      <c r="F32" s="6">
        <f>'whisper-large-v3'!H32</f>
        <v>1.00000011920929</v>
      </c>
      <c r="G32">
        <f t="shared" si="1"/>
        <v>0</v>
      </c>
      <c r="H32" s="15">
        <f>wav2vec2_arabic!H33</f>
        <v>1</v>
      </c>
      <c r="I32">
        <f t="shared" si="2"/>
        <v>1</v>
      </c>
      <c r="J32">
        <f t="shared" si="3"/>
        <v>1</v>
      </c>
      <c r="K32" s="15">
        <f t="shared" si="4"/>
        <v>1</v>
      </c>
    </row>
    <row r="33" spans="1:11" x14ac:dyDescent="0.3">
      <c r="A33">
        <f>'whisper-base'!E33</f>
        <v>1</v>
      </c>
      <c r="B33" s="5">
        <f>'whisper-large-v3'!E33</f>
        <v>0</v>
      </c>
      <c r="C33" s="6">
        <f t="shared" si="0"/>
        <v>-1</v>
      </c>
      <c r="D33" s="16">
        <f>wav2vec2_arabic!E33</f>
        <v>0</v>
      </c>
      <c r="E33" s="6">
        <f>'whisper-base'!H33</f>
        <v>0.42341235280036932</v>
      </c>
      <c r="F33" s="6">
        <f>'whisper-large-v3'!H33</f>
        <v>1</v>
      </c>
      <c r="G33">
        <f t="shared" si="1"/>
        <v>0.57658764719963074</v>
      </c>
      <c r="H33" s="15">
        <f>wav2vec2_arabic!H34</f>
        <v>0.60369712114334106</v>
      </c>
      <c r="I33">
        <f t="shared" si="2"/>
        <v>0</v>
      </c>
      <c r="J33">
        <f t="shared" si="3"/>
        <v>1</v>
      </c>
      <c r="K33" s="15">
        <f t="shared" si="4"/>
        <v>0</v>
      </c>
    </row>
    <row r="34" spans="1:11" x14ac:dyDescent="0.3">
      <c r="A34">
        <f>'whisper-base'!E34</f>
        <v>64</v>
      </c>
      <c r="B34" s="5">
        <f>'whisper-large-v3'!E34</f>
        <v>1</v>
      </c>
      <c r="C34" s="6">
        <f t="shared" si="0"/>
        <v>-63</v>
      </c>
      <c r="D34" s="16">
        <f>wav2vec2_arabic!E34</f>
        <v>1</v>
      </c>
      <c r="E34" s="6">
        <f>'whisper-base'!H34</f>
        <v>0.14046585559844971</v>
      </c>
      <c r="F34" s="6">
        <f>'whisper-large-v3'!H34</f>
        <v>0.62342619895935059</v>
      </c>
      <c r="G34">
        <f t="shared" si="1"/>
        <v>0.48296034336090088</v>
      </c>
      <c r="H34" s="15">
        <f>wav2vec2_arabic!H35</f>
        <v>0.44888666272163391</v>
      </c>
      <c r="I34">
        <f t="shared" si="2"/>
        <v>0</v>
      </c>
      <c r="J34">
        <f t="shared" si="3"/>
        <v>0</v>
      </c>
      <c r="K34" s="15">
        <f t="shared" si="4"/>
        <v>0</v>
      </c>
    </row>
    <row r="35" spans="1:11" x14ac:dyDescent="0.3">
      <c r="A35">
        <f>'whisper-base'!E35</f>
        <v>0.8571428571428571</v>
      </c>
      <c r="B35" s="5">
        <f>'whisper-large-v3'!E35</f>
        <v>0.14285714285714279</v>
      </c>
      <c r="C35" s="6">
        <f t="shared" si="0"/>
        <v>-0.7142857142857143</v>
      </c>
      <c r="D35" s="16">
        <f>wav2vec2_arabic!E35</f>
        <v>0.42857142857142849</v>
      </c>
      <c r="E35" s="6">
        <f>'whisper-base'!H35</f>
        <v>0.15373677015304571</v>
      </c>
      <c r="F35" s="6">
        <f>'whisper-large-v3'!H35</f>
        <v>0.99999988079071045</v>
      </c>
      <c r="G35">
        <f t="shared" si="1"/>
        <v>0.84626311063766479</v>
      </c>
      <c r="H35" s="15">
        <f>wav2vec2_arabic!H36</f>
        <v>0.99999988079071045</v>
      </c>
      <c r="I35">
        <f t="shared" si="2"/>
        <v>0</v>
      </c>
      <c r="J35">
        <f t="shared" si="3"/>
        <v>1</v>
      </c>
      <c r="K35" s="15">
        <f t="shared" si="4"/>
        <v>1</v>
      </c>
    </row>
    <row r="36" spans="1:11" x14ac:dyDescent="0.3">
      <c r="A36">
        <f>'whisper-base'!E36</f>
        <v>0.4</v>
      </c>
      <c r="B36" s="5">
        <f>'whisper-large-v3'!E36</f>
        <v>0</v>
      </c>
      <c r="C36" s="6">
        <f t="shared" si="0"/>
        <v>-0.4</v>
      </c>
      <c r="D36" s="16">
        <f>wav2vec2_arabic!E36</f>
        <v>0</v>
      </c>
      <c r="E36" s="6">
        <f>'whisper-base'!H36</f>
        <v>0.79385626316070557</v>
      </c>
      <c r="F36" s="6">
        <f>'whisper-large-v3'!H36</f>
        <v>0.99999988079071045</v>
      </c>
      <c r="G36">
        <f t="shared" si="1"/>
        <v>0.20614361763000488</v>
      </c>
      <c r="H36" s="15">
        <f>wav2vec2_arabic!H37</f>
        <v>0.71904122829437256</v>
      </c>
      <c r="I36">
        <f t="shared" si="2"/>
        <v>1</v>
      </c>
      <c r="J36">
        <f t="shared" si="3"/>
        <v>1</v>
      </c>
      <c r="K36" s="15">
        <f t="shared" si="4"/>
        <v>0</v>
      </c>
    </row>
    <row r="37" spans="1:11" x14ac:dyDescent="0.3">
      <c r="A37">
        <f>'whisper-base'!E37</f>
        <v>0.33333333333333331</v>
      </c>
      <c r="B37" s="5">
        <f>'whisper-large-v3'!E37</f>
        <v>0</v>
      </c>
      <c r="C37" s="6">
        <f t="shared" si="0"/>
        <v>-0.33333333333333331</v>
      </c>
      <c r="D37" s="16">
        <f>wav2vec2_arabic!E37</f>
        <v>0.16666666666666671</v>
      </c>
      <c r="E37" s="6">
        <f>'whisper-base'!H37</f>
        <v>0.68035244941711426</v>
      </c>
      <c r="F37" s="6">
        <f>'whisper-large-v3'!H37</f>
        <v>0.99999988079071045</v>
      </c>
      <c r="G37">
        <f t="shared" si="1"/>
        <v>0.31964743137359619</v>
      </c>
      <c r="H37" s="15">
        <f>wav2vec2_arabic!H38</f>
        <v>1.00000011920929</v>
      </c>
      <c r="I37">
        <f t="shared" si="2"/>
        <v>0</v>
      </c>
      <c r="J37">
        <f t="shared" si="3"/>
        <v>1</v>
      </c>
      <c r="K37" s="15">
        <f t="shared" si="4"/>
        <v>1</v>
      </c>
    </row>
    <row r="38" spans="1:11" x14ac:dyDescent="0.3">
      <c r="A38">
        <f>'whisper-base'!E38</f>
        <v>1</v>
      </c>
      <c r="B38" s="5">
        <f>'whisper-large-v3'!E38</f>
        <v>0.66666666666666663</v>
      </c>
      <c r="C38" s="6">
        <f t="shared" si="0"/>
        <v>-0.33333333333333337</v>
      </c>
      <c r="D38" s="16">
        <f>wav2vec2_arabic!E38</f>
        <v>1</v>
      </c>
      <c r="E38" s="6">
        <f>'whisper-base'!H38</f>
        <v>6.119241937994957E-2</v>
      </c>
      <c r="F38" s="6">
        <f>'whisper-large-v3'!H38</f>
        <v>0.32589805126190191</v>
      </c>
      <c r="G38">
        <f t="shared" si="1"/>
        <v>0.26470563188195234</v>
      </c>
      <c r="H38" s="15">
        <f>wav2vec2_arabic!H39</f>
        <v>1.00000011920929</v>
      </c>
      <c r="I38">
        <f t="shared" si="2"/>
        <v>0</v>
      </c>
      <c r="J38">
        <f t="shared" si="3"/>
        <v>0</v>
      </c>
      <c r="K38" s="15">
        <f t="shared" si="4"/>
        <v>1</v>
      </c>
    </row>
    <row r="39" spans="1:11" x14ac:dyDescent="0.3">
      <c r="A39">
        <f>'whisper-base'!E39</f>
        <v>0.66666666666666663</v>
      </c>
      <c r="B39" s="5">
        <f>'whisper-large-v3'!E39</f>
        <v>0</v>
      </c>
      <c r="C39" s="6">
        <f t="shared" si="0"/>
        <v>-0.66666666666666663</v>
      </c>
      <c r="D39" s="16">
        <f>wav2vec2_arabic!E39</f>
        <v>0.33333333333333331</v>
      </c>
      <c r="E39" s="6">
        <f>'whisper-base'!H39</f>
        <v>0.93123674392700195</v>
      </c>
      <c r="F39" s="6">
        <f>'whisper-large-v3'!H39</f>
        <v>1.00000011920929</v>
      </c>
      <c r="G39">
        <f t="shared" si="1"/>
        <v>6.8763375282288042E-2</v>
      </c>
      <c r="H39" s="15">
        <f>wav2vec2_arabic!H40</f>
        <v>1</v>
      </c>
      <c r="I39">
        <f t="shared" si="2"/>
        <v>1</v>
      </c>
      <c r="J39">
        <f t="shared" si="3"/>
        <v>1</v>
      </c>
      <c r="K39" s="15">
        <f t="shared" si="4"/>
        <v>1</v>
      </c>
    </row>
    <row r="40" spans="1:11" x14ac:dyDescent="0.3">
      <c r="A40">
        <f>'whisper-base'!E40</f>
        <v>0.25</v>
      </c>
      <c r="B40" s="5">
        <f>'whisper-large-v3'!E40</f>
        <v>0</v>
      </c>
      <c r="C40" s="6">
        <f t="shared" si="0"/>
        <v>-0.25</v>
      </c>
      <c r="D40" s="16">
        <f>wav2vec2_arabic!E40</f>
        <v>0</v>
      </c>
      <c r="E40" s="6">
        <f>'whisper-base'!H40</f>
        <v>0.53685164451599121</v>
      </c>
      <c r="F40" s="6">
        <f>'whisper-large-v3'!H40</f>
        <v>1</v>
      </c>
      <c r="G40">
        <f t="shared" si="1"/>
        <v>0.46314835548400879</v>
      </c>
      <c r="H40" s="15">
        <f>wav2vec2_arabic!H41</f>
        <v>0.43706187605857849</v>
      </c>
      <c r="I40">
        <f t="shared" si="2"/>
        <v>0</v>
      </c>
      <c r="J40">
        <f t="shared" si="3"/>
        <v>1</v>
      </c>
      <c r="K40" s="15">
        <f t="shared" si="4"/>
        <v>0</v>
      </c>
    </row>
    <row r="41" spans="1:11" x14ac:dyDescent="0.3">
      <c r="A41">
        <f>'whisper-base'!E41</f>
        <v>0.5</v>
      </c>
      <c r="B41" s="5">
        <f>'whisper-large-v3'!E41</f>
        <v>0.25</v>
      </c>
      <c r="C41" s="6">
        <f t="shared" si="0"/>
        <v>-0.25</v>
      </c>
      <c r="D41" s="16">
        <f>wav2vec2_arabic!E41</f>
        <v>0.5</v>
      </c>
      <c r="E41" s="6">
        <f>'whisper-base'!H41</f>
        <v>0.89452874660491943</v>
      </c>
      <c r="F41" s="6">
        <f>'whisper-large-v3'!H41</f>
        <v>0.9838874340057373</v>
      </c>
      <c r="G41">
        <f t="shared" si="1"/>
        <v>8.9358687400817871E-2</v>
      </c>
      <c r="H41" s="15">
        <f>wav2vec2_arabic!H42</f>
        <v>1</v>
      </c>
      <c r="I41">
        <f t="shared" si="2"/>
        <v>1</v>
      </c>
      <c r="J41">
        <f t="shared" si="3"/>
        <v>1</v>
      </c>
      <c r="K41" s="15">
        <f t="shared" si="4"/>
        <v>1</v>
      </c>
    </row>
    <row r="42" spans="1:11" x14ac:dyDescent="0.3">
      <c r="A42">
        <f>'whisper-base'!E42</f>
        <v>0.42857142857142849</v>
      </c>
      <c r="B42" s="5">
        <f>'whisper-large-v3'!E42</f>
        <v>0</v>
      </c>
      <c r="C42" s="6">
        <f t="shared" si="0"/>
        <v>-0.42857142857142849</v>
      </c>
      <c r="D42" s="16">
        <f>wav2vec2_arabic!E42</f>
        <v>0</v>
      </c>
      <c r="E42" s="6">
        <f>'whisper-base'!H42</f>
        <v>0.95409530401229858</v>
      </c>
      <c r="F42" s="6">
        <f>'whisper-large-v3'!H42</f>
        <v>1</v>
      </c>
      <c r="G42">
        <f t="shared" si="1"/>
        <v>4.5904695987701416E-2</v>
      </c>
      <c r="H42" s="15">
        <f>wav2vec2_arabic!H43</f>
        <v>0.99999988079071045</v>
      </c>
      <c r="I42">
        <f t="shared" si="2"/>
        <v>1</v>
      </c>
      <c r="J42">
        <f t="shared" si="3"/>
        <v>1</v>
      </c>
      <c r="K42" s="15">
        <f t="shared" si="4"/>
        <v>1</v>
      </c>
    </row>
    <row r="43" spans="1:11" x14ac:dyDescent="0.3">
      <c r="A43">
        <f>'whisper-base'!E43</f>
        <v>0.4</v>
      </c>
      <c r="B43" s="5">
        <f>'whisper-large-v3'!E43</f>
        <v>0</v>
      </c>
      <c r="C43" s="6">
        <f t="shared" si="0"/>
        <v>-0.4</v>
      </c>
      <c r="D43" s="16">
        <f>wav2vec2_arabic!E43</f>
        <v>0</v>
      </c>
      <c r="E43" s="6">
        <f>'whisper-base'!H43</f>
        <v>0.57102739810943604</v>
      </c>
      <c r="F43" s="6">
        <f>'whisper-large-v3'!H43</f>
        <v>0.99999988079071045</v>
      </c>
      <c r="G43">
        <f t="shared" si="1"/>
        <v>0.42897248268127441</v>
      </c>
      <c r="H43" s="15">
        <f>wav2vec2_arabic!H44</f>
        <v>1.0000002384185791</v>
      </c>
      <c r="I43">
        <f t="shared" si="2"/>
        <v>0</v>
      </c>
      <c r="J43">
        <f t="shared" si="3"/>
        <v>1</v>
      </c>
      <c r="K43" s="15">
        <f t="shared" si="4"/>
        <v>1</v>
      </c>
    </row>
    <row r="44" spans="1:11" x14ac:dyDescent="0.3">
      <c r="A44">
        <f>'whisper-base'!E44</f>
        <v>0.66666666666666663</v>
      </c>
      <c r="B44" s="5">
        <f>'whisper-large-v3'!E44</f>
        <v>0</v>
      </c>
      <c r="C44" s="6">
        <f t="shared" si="0"/>
        <v>-0.66666666666666663</v>
      </c>
      <c r="D44" s="16">
        <f>wav2vec2_arabic!E44</f>
        <v>0</v>
      </c>
      <c r="E44" s="6">
        <f>'whisper-base'!H44</f>
        <v>0.2242375314235687</v>
      </c>
      <c r="F44" s="6">
        <f>'whisper-large-v3'!H44</f>
        <v>1.0000002384185791</v>
      </c>
      <c r="G44">
        <f t="shared" si="1"/>
        <v>0.77576270699501038</v>
      </c>
      <c r="H44" s="15">
        <f>wav2vec2_arabic!H45</f>
        <v>9.0471811592578888E-2</v>
      </c>
      <c r="I44">
        <f t="shared" si="2"/>
        <v>0</v>
      </c>
      <c r="J44">
        <f t="shared" si="3"/>
        <v>1</v>
      </c>
      <c r="K44" s="15">
        <f t="shared" si="4"/>
        <v>0</v>
      </c>
    </row>
    <row r="45" spans="1:11" x14ac:dyDescent="0.3">
      <c r="A45">
        <f>'whisper-base'!E45</f>
        <v>1</v>
      </c>
      <c r="B45" s="5">
        <f>'whisper-large-v3'!E45</f>
        <v>0.16666666666666671</v>
      </c>
      <c r="C45" s="6">
        <f t="shared" si="0"/>
        <v>-0.83333333333333326</v>
      </c>
      <c r="D45" s="16">
        <f>wav2vec2_arabic!E45</f>
        <v>0.5</v>
      </c>
      <c r="E45" s="6">
        <f>'whisper-base'!H45</f>
        <v>0.17273461818695071</v>
      </c>
      <c r="F45" s="6">
        <f>'whisper-large-v3'!H45</f>
        <v>0.98609328269958496</v>
      </c>
      <c r="G45">
        <f t="shared" si="1"/>
        <v>0.81335866451263428</v>
      </c>
      <c r="H45" s="15">
        <f>wav2vec2_arabic!H46</f>
        <v>0.99999988079071045</v>
      </c>
      <c r="I45">
        <f t="shared" si="2"/>
        <v>0</v>
      </c>
      <c r="J45">
        <f t="shared" si="3"/>
        <v>1</v>
      </c>
      <c r="K45" s="15">
        <f t="shared" si="4"/>
        <v>1</v>
      </c>
    </row>
    <row r="46" spans="1:11" x14ac:dyDescent="0.3">
      <c r="A46">
        <f>'whisper-base'!E46</f>
        <v>0.75</v>
      </c>
      <c r="B46" s="5">
        <f>'whisper-large-v3'!E46</f>
        <v>0.5</v>
      </c>
      <c r="C46" s="6">
        <f t="shared" si="0"/>
        <v>-0.25</v>
      </c>
      <c r="D46" s="16">
        <f>wav2vec2_arabic!E46</f>
        <v>0.25</v>
      </c>
      <c r="E46" s="6">
        <f>'whisper-base'!H46</f>
        <v>0.36288589239120478</v>
      </c>
      <c r="F46" s="6">
        <f>'whisper-large-v3'!H46</f>
        <v>0.28415319323539728</v>
      </c>
      <c r="G46">
        <f t="shared" si="1"/>
        <v>-7.8732699155807495E-2</v>
      </c>
      <c r="H46" s="15">
        <f>wav2vec2_arabic!H47</f>
        <v>0.99999988079071045</v>
      </c>
      <c r="I46">
        <f t="shared" si="2"/>
        <v>0</v>
      </c>
      <c r="J46">
        <f t="shared" si="3"/>
        <v>0</v>
      </c>
      <c r="K46" s="15">
        <f t="shared" si="4"/>
        <v>1</v>
      </c>
    </row>
    <row r="47" spans="1:11" x14ac:dyDescent="0.3">
      <c r="A47">
        <f>'whisper-base'!E47</f>
        <v>0.5</v>
      </c>
      <c r="B47" s="5">
        <f>'whisper-large-v3'!E47</f>
        <v>0.16666666666666671</v>
      </c>
      <c r="C47" s="6">
        <f t="shared" si="0"/>
        <v>-0.33333333333333326</v>
      </c>
      <c r="D47" s="16">
        <f>wav2vec2_arabic!E47</f>
        <v>0.16666666666666671</v>
      </c>
      <c r="E47" s="6">
        <f>'whisper-base'!H47</f>
        <v>0.66976898908615112</v>
      </c>
      <c r="F47" s="6">
        <f>'whisper-large-v3'!H47</f>
        <v>0.99999988079071045</v>
      </c>
      <c r="G47">
        <f t="shared" si="1"/>
        <v>0.33023089170455933</v>
      </c>
      <c r="H47" s="15">
        <f>wav2vec2_arabic!H48</f>
        <v>0.99999988079071045</v>
      </c>
      <c r="I47">
        <f t="shared" si="2"/>
        <v>0</v>
      </c>
      <c r="J47">
        <f t="shared" si="3"/>
        <v>1</v>
      </c>
      <c r="K47" s="15">
        <f t="shared" si="4"/>
        <v>1</v>
      </c>
    </row>
    <row r="48" spans="1:11" x14ac:dyDescent="0.3">
      <c r="A48">
        <f>'whisper-base'!E48</f>
        <v>1</v>
      </c>
      <c r="B48" s="5">
        <f>'whisper-large-v3'!E48</f>
        <v>0</v>
      </c>
      <c r="C48" s="6">
        <f t="shared" si="0"/>
        <v>-1</v>
      </c>
      <c r="D48" s="16">
        <f>wav2vec2_arabic!E48</f>
        <v>0</v>
      </c>
      <c r="E48" s="6">
        <f>'whisper-base'!H48</f>
        <v>0.26307851076126099</v>
      </c>
      <c r="F48" s="6">
        <f>'whisper-large-v3'!H48</f>
        <v>0.99999988079071045</v>
      </c>
      <c r="G48">
        <f t="shared" si="1"/>
        <v>0.73692137002944946</v>
      </c>
      <c r="H48" s="15">
        <f>wav2vec2_arabic!H49</f>
        <v>0.99999982118606567</v>
      </c>
      <c r="I48">
        <f t="shared" si="2"/>
        <v>0</v>
      </c>
      <c r="J48">
        <f t="shared" si="3"/>
        <v>1</v>
      </c>
      <c r="K48" s="15">
        <f t="shared" si="4"/>
        <v>1</v>
      </c>
    </row>
    <row r="49" spans="1:11" x14ac:dyDescent="0.3">
      <c r="A49">
        <f>'whisper-base'!E49</f>
        <v>1</v>
      </c>
      <c r="B49" s="5">
        <f>'whisper-large-v3'!E49</f>
        <v>0</v>
      </c>
      <c r="C49" s="6">
        <f t="shared" si="0"/>
        <v>-1</v>
      </c>
      <c r="D49" s="16">
        <f>wav2vec2_arabic!E49</f>
        <v>0</v>
      </c>
      <c r="E49" s="6">
        <f>'whisper-base'!H49</f>
        <v>0.43307942152023321</v>
      </c>
      <c r="F49" s="6">
        <f>'whisper-large-v3'!H49</f>
        <v>0.99999982118606567</v>
      </c>
      <c r="G49">
        <f t="shared" si="1"/>
        <v>0.56692039966583252</v>
      </c>
      <c r="H49" s="15">
        <f>wav2vec2_arabic!H50</f>
        <v>0.19441559910774231</v>
      </c>
      <c r="I49">
        <f t="shared" si="2"/>
        <v>0</v>
      </c>
      <c r="J49">
        <f t="shared" si="3"/>
        <v>1</v>
      </c>
      <c r="K49" s="15">
        <f t="shared" si="4"/>
        <v>0</v>
      </c>
    </row>
    <row r="50" spans="1:11" x14ac:dyDescent="0.3">
      <c r="A50">
        <f>'whisper-base'!E50</f>
        <v>0.55555555555555558</v>
      </c>
      <c r="B50" s="5">
        <f>'whisper-large-v3'!E50</f>
        <v>0.1111111111111111</v>
      </c>
      <c r="C50" s="6">
        <f t="shared" si="0"/>
        <v>-0.44444444444444448</v>
      </c>
      <c r="D50" s="16">
        <f>wav2vec2_arabic!E50</f>
        <v>0.66666666666666663</v>
      </c>
      <c r="E50" s="6">
        <f>'whisper-base'!H50</f>
        <v>0.41294416785240168</v>
      </c>
      <c r="F50" s="6">
        <f>'whisper-large-v3'!H50</f>
        <v>1.00000011920929</v>
      </c>
      <c r="G50">
        <f t="shared" si="1"/>
        <v>0.58705595135688826</v>
      </c>
      <c r="H50" s="15">
        <f>wav2vec2_arabic!H51</f>
        <v>0.2493714839220047</v>
      </c>
      <c r="I50">
        <f t="shared" si="2"/>
        <v>0</v>
      </c>
      <c r="J50">
        <f t="shared" si="3"/>
        <v>1</v>
      </c>
      <c r="K50" s="15">
        <f t="shared" si="4"/>
        <v>0</v>
      </c>
    </row>
    <row r="51" spans="1:11" x14ac:dyDescent="0.3">
      <c r="A51">
        <f>'whisper-base'!E51</f>
        <v>1</v>
      </c>
      <c r="B51" s="5">
        <f>'whisper-large-v3'!E51</f>
        <v>0</v>
      </c>
      <c r="C51" s="6">
        <f t="shared" si="0"/>
        <v>-1</v>
      </c>
      <c r="D51" s="16">
        <f>wav2vec2_arabic!E51</f>
        <v>0.42857142857142849</v>
      </c>
      <c r="E51" s="6">
        <f>'whisper-base'!H51</f>
        <v>0.15415400266647339</v>
      </c>
      <c r="F51" s="6">
        <f>'whisper-large-v3'!H51</f>
        <v>1.00000011920929</v>
      </c>
      <c r="G51">
        <f t="shared" si="1"/>
        <v>0.84584611654281661</v>
      </c>
      <c r="H51" s="15">
        <f>wav2vec2_arabic!H52</f>
        <v>0.99999988079071045</v>
      </c>
      <c r="I51">
        <f t="shared" si="2"/>
        <v>0</v>
      </c>
      <c r="J51">
        <f t="shared" si="3"/>
        <v>1</v>
      </c>
      <c r="K51" s="15">
        <f t="shared" si="4"/>
        <v>1</v>
      </c>
    </row>
    <row r="52" spans="1:11" x14ac:dyDescent="0.3">
      <c r="A52">
        <f>'whisper-base'!E52</f>
        <v>1</v>
      </c>
      <c r="B52" s="5">
        <f>'whisper-large-v3'!E52</f>
        <v>0</v>
      </c>
      <c r="C52" s="6">
        <f t="shared" si="0"/>
        <v>-1</v>
      </c>
      <c r="D52" s="16">
        <f>wav2vec2_arabic!E52</f>
        <v>0.16666666666666671</v>
      </c>
      <c r="E52" s="6">
        <f>'whisper-base'!H52</f>
        <v>3.3694440498948102E-3</v>
      </c>
      <c r="F52" s="6">
        <f>'whisper-large-v3'!H52</f>
        <v>0.99999988079071045</v>
      </c>
      <c r="G52">
        <f t="shared" si="1"/>
        <v>0.99663043674081564</v>
      </c>
      <c r="H52" s="15">
        <f>wav2vec2_arabic!H53</f>
        <v>1.0000002384185791</v>
      </c>
      <c r="I52">
        <f t="shared" si="2"/>
        <v>0</v>
      </c>
      <c r="J52">
        <f t="shared" si="3"/>
        <v>1</v>
      </c>
      <c r="K52" s="15">
        <f t="shared" si="4"/>
        <v>1</v>
      </c>
    </row>
    <row r="53" spans="1:11" x14ac:dyDescent="0.3">
      <c r="A53">
        <f>'whisper-base'!E53</f>
        <v>1</v>
      </c>
      <c r="B53" s="5">
        <f>'whisper-large-v3'!E53</f>
        <v>0.5</v>
      </c>
      <c r="C53" s="6">
        <f t="shared" si="0"/>
        <v>-0.5</v>
      </c>
      <c r="D53" s="16">
        <f>wav2vec2_arabic!E53</f>
        <v>0.5</v>
      </c>
      <c r="E53" s="6">
        <f>'whisper-base'!H53</f>
        <v>0.1452281326055527</v>
      </c>
      <c r="F53" s="6">
        <f>'whisper-large-v3'!H53</f>
        <v>1.0000002384185791</v>
      </c>
      <c r="G53">
        <f t="shared" si="1"/>
        <v>0.85477210581302643</v>
      </c>
      <c r="H53" s="15">
        <f>wav2vec2_arabic!H54</f>
        <v>1.0000002384185791</v>
      </c>
      <c r="I53">
        <f t="shared" si="2"/>
        <v>0</v>
      </c>
      <c r="J53">
        <f t="shared" si="3"/>
        <v>1</v>
      </c>
      <c r="K53" s="15">
        <f t="shared" si="4"/>
        <v>1</v>
      </c>
    </row>
    <row r="54" spans="1:11" x14ac:dyDescent="0.3">
      <c r="A54">
        <f>'whisper-base'!E54</f>
        <v>0.25</v>
      </c>
      <c r="B54" s="5">
        <f>'whisper-large-v3'!E54</f>
        <v>0</v>
      </c>
      <c r="C54" s="6">
        <f t="shared" si="0"/>
        <v>-0.25</v>
      </c>
      <c r="D54" s="16">
        <f>wav2vec2_arabic!E54</f>
        <v>0</v>
      </c>
      <c r="E54" s="6">
        <f>'whisper-base'!H54</f>
        <v>1.0000002384185791</v>
      </c>
      <c r="F54" s="6">
        <f>'whisper-large-v3'!H54</f>
        <v>1.0000002384185791</v>
      </c>
      <c r="G54">
        <f t="shared" si="1"/>
        <v>0</v>
      </c>
      <c r="H54" s="15">
        <f>wav2vec2_arabic!H55</f>
        <v>1</v>
      </c>
      <c r="I54">
        <f t="shared" si="2"/>
        <v>1</v>
      </c>
      <c r="J54">
        <f t="shared" si="3"/>
        <v>1</v>
      </c>
      <c r="K54" s="15">
        <f t="shared" si="4"/>
        <v>1</v>
      </c>
    </row>
    <row r="55" spans="1:11" x14ac:dyDescent="0.3">
      <c r="A55">
        <f>'whisper-base'!E55</f>
        <v>0.7142857142857143</v>
      </c>
      <c r="B55" s="5">
        <f>'whisper-large-v3'!E55</f>
        <v>0.2857142857142857</v>
      </c>
      <c r="C55" s="6">
        <f t="shared" si="0"/>
        <v>-0.4285714285714286</v>
      </c>
      <c r="D55" s="16">
        <f>wav2vec2_arabic!E55</f>
        <v>0.2857142857142857</v>
      </c>
      <c r="E55" s="6">
        <f>'whisper-base'!H55</f>
        <v>0.71379321813583374</v>
      </c>
      <c r="F55" s="6">
        <f>'whisper-large-v3'!H55</f>
        <v>1</v>
      </c>
      <c r="G55">
        <f t="shared" si="1"/>
        <v>0.28620678186416626</v>
      </c>
      <c r="H55" s="15">
        <f>wav2vec2_arabic!H56</f>
        <v>0.37940970063209528</v>
      </c>
      <c r="I55">
        <f t="shared" si="2"/>
        <v>0</v>
      </c>
      <c r="J55">
        <f t="shared" si="3"/>
        <v>1</v>
      </c>
      <c r="K55" s="15">
        <f t="shared" si="4"/>
        <v>0</v>
      </c>
    </row>
    <row r="56" spans="1:11" x14ac:dyDescent="0.3">
      <c r="A56">
        <f>'whisper-base'!E56</f>
        <v>1</v>
      </c>
      <c r="B56" s="5">
        <f>'whisper-large-v3'!E56</f>
        <v>0.75</v>
      </c>
      <c r="C56" s="6">
        <f t="shared" si="0"/>
        <v>-0.25</v>
      </c>
      <c r="D56" s="16">
        <f>wav2vec2_arabic!E56</f>
        <v>0.75</v>
      </c>
      <c r="E56" s="6">
        <f>'whisper-base'!H56</f>
        <v>0.40583360195159912</v>
      </c>
      <c r="F56" s="6">
        <f>'whisper-large-v3'!H56</f>
        <v>1</v>
      </c>
      <c r="G56">
        <f t="shared" si="1"/>
        <v>0.59416639804840088</v>
      </c>
      <c r="H56" s="15">
        <f>wav2vec2_arabic!H57</f>
        <v>1</v>
      </c>
      <c r="I56">
        <f t="shared" si="2"/>
        <v>0</v>
      </c>
      <c r="J56">
        <f t="shared" si="3"/>
        <v>1</v>
      </c>
      <c r="K56" s="15">
        <f t="shared" si="4"/>
        <v>1</v>
      </c>
    </row>
    <row r="57" spans="1:11" x14ac:dyDescent="0.3">
      <c r="A57">
        <f>'whisper-base'!E57</f>
        <v>0.2</v>
      </c>
      <c r="B57" s="5">
        <f>'whisper-large-v3'!E57</f>
        <v>0.2</v>
      </c>
      <c r="C57" s="6">
        <f t="shared" si="0"/>
        <v>0</v>
      </c>
      <c r="D57" s="16">
        <f>wav2vec2_arabic!E57</f>
        <v>0.4</v>
      </c>
      <c r="E57" s="6">
        <f>'whisper-base'!H57</f>
        <v>0.75294989347457886</v>
      </c>
      <c r="F57" s="6">
        <f>'whisper-large-v3'!H57</f>
        <v>0.91474443674087524</v>
      </c>
      <c r="G57">
        <f t="shared" si="1"/>
        <v>0.16179454326629639</v>
      </c>
      <c r="H57" s="15">
        <f>wav2vec2_arabic!H58</f>
        <v>0.90978968143463135</v>
      </c>
      <c r="I57">
        <f t="shared" si="2"/>
        <v>1</v>
      </c>
      <c r="J57">
        <f t="shared" si="3"/>
        <v>1</v>
      </c>
      <c r="K57" s="15">
        <f t="shared" si="4"/>
        <v>1</v>
      </c>
    </row>
    <row r="58" spans="1:11" x14ac:dyDescent="0.3">
      <c r="A58">
        <f>'whisper-base'!E58</f>
        <v>1</v>
      </c>
      <c r="B58" s="5">
        <f>'whisper-large-v3'!E58</f>
        <v>0</v>
      </c>
      <c r="C58" s="6">
        <f t="shared" si="0"/>
        <v>-1</v>
      </c>
      <c r="D58" s="16">
        <f>wav2vec2_arabic!E58</f>
        <v>0.66666666666666663</v>
      </c>
      <c r="E58" s="6">
        <f>'whisper-base'!H58</f>
        <v>0.21768653392791751</v>
      </c>
      <c r="F58" s="6">
        <f>'whisper-large-v3'!H58</f>
        <v>0.99999988079071045</v>
      </c>
      <c r="G58">
        <f t="shared" si="1"/>
        <v>0.78231334686279297</v>
      </c>
      <c r="H58" s="15">
        <f>wav2vec2_arabic!H59</f>
        <v>0.59300005435943604</v>
      </c>
      <c r="I58">
        <f t="shared" si="2"/>
        <v>0</v>
      </c>
      <c r="J58">
        <f t="shared" si="3"/>
        <v>1</v>
      </c>
      <c r="K58" s="15">
        <f t="shared" si="4"/>
        <v>0</v>
      </c>
    </row>
    <row r="59" spans="1:11" x14ac:dyDescent="0.3">
      <c r="A59">
        <f>'whisper-base'!E59</f>
        <v>1.153846153846154</v>
      </c>
      <c r="B59" s="5">
        <f>'whisper-large-v3'!E59</f>
        <v>0.46153846153846162</v>
      </c>
      <c r="C59" s="6">
        <f t="shared" si="0"/>
        <v>-0.69230769230769229</v>
      </c>
      <c r="D59" s="16">
        <f>wav2vec2_arabic!E59</f>
        <v>0.46153846153846162</v>
      </c>
      <c r="E59" s="6">
        <f>'whisper-base'!H59</f>
        <v>0.1140464693307877</v>
      </c>
      <c r="F59" s="6">
        <f>'whisper-large-v3'!H59</f>
        <v>0.51742255687713623</v>
      </c>
      <c r="G59">
        <f t="shared" si="1"/>
        <v>0.40337608754634852</v>
      </c>
      <c r="H59" s="15">
        <f>wav2vec2_arabic!H60</f>
        <v>0.99999994039535522</v>
      </c>
      <c r="I59">
        <f t="shared" si="2"/>
        <v>0</v>
      </c>
      <c r="J59">
        <f t="shared" si="3"/>
        <v>0</v>
      </c>
      <c r="K59" s="15">
        <f t="shared" si="4"/>
        <v>1</v>
      </c>
    </row>
    <row r="60" spans="1:11" x14ac:dyDescent="0.3">
      <c r="A60">
        <f>'whisper-base'!E60</f>
        <v>0.75</v>
      </c>
      <c r="B60" s="5">
        <f>'whisper-large-v3'!E60</f>
        <v>0.25</v>
      </c>
      <c r="C60" s="6">
        <f t="shared" si="0"/>
        <v>-0.5</v>
      </c>
      <c r="D60" s="16">
        <f>wav2vec2_arabic!E60</f>
        <v>0.25</v>
      </c>
      <c r="E60" s="6">
        <f>'whisper-base'!H60</f>
        <v>0.14907167851924899</v>
      </c>
      <c r="F60" s="6">
        <f>'whisper-large-v3'!H60</f>
        <v>0.99999994039535522</v>
      </c>
      <c r="G60">
        <f t="shared" si="1"/>
        <v>0.85092826187610626</v>
      </c>
      <c r="H60" s="15">
        <f>wav2vec2_arabic!H61</f>
        <v>1.00000011920929</v>
      </c>
      <c r="I60">
        <f t="shared" si="2"/>
        <v>0</v>
      </c>
      <c r="J60">
        <f t="shared" si="3"/>
        <v>1</v>
      </c>
      <c r="K60" s="15">
        <f t="shared" si="4"/>
        <v>1</v>
      </c>
    </row>
    <row r="61" spans="1:11" x14ac:dyDescent="0.3">
      <c r="A61">
        <f>'whisper-base'!E61</f>
        <v>1</v>
      </c>
      <c r="B61" s="5">
        <f>'whisper-large-v3'!E61</f>
        <v>0.66666666666666663</v>
      </c>
      <c r="C61" s="6">
        <f t="shared" si="0"/>
        <v>-0.33333333333333337</v>
      </c>
      <c r="D61" s="16">
        <f>wav2vec2_arabic!E61</f>
        <v>0</v>
      </c>
      <c r="E61" s="6">
        <f>'whisper-base'!H61</f>
        <v>0.30048099160194403</v>
      </c>
      <c r="F61" s="6">
        <f>'whisper-large-v3'!H61</f>
        <v>0.6374351978302002</v>
      </c>
      <c r="G61">
        <f t="shared" si="1"/>
        <v>0.33695420622825617</v>
      </c>
      <c r="H61" s="15">
        <f>wav2vec2_arabic!H62</f>
        <v>1.0000002384185791</v>
      </c>
      <c r="I61">
        <f t="shared" si="2"/>
        <v>0</v>
      </c>
      <c r="J61">
        <f t="shared" si="3"/>
        <v>0</v>
      </c>
      <c r="K61" s="15">
        <f t="shared" si="4"/>
        <v>1</v>
      </c>
    </row>
    <row r="62" spans="1:11" x14ac:dyDescent="0.3">
      <c r="A62">
        <f>'whisper-base'!E62</f>
        <v>0.7142857142857143</v>
      </c>
      <c r="B62" s="5">
        <f>'whisper-large-v3'!E62</f>
        <v>0.42857142857142849</v>
      </c>
      <c r="C62" s="6">
        <f t="shared" si="0"/>
        <v>-0.28571428571428581</v>
      </c>
      <c r="D62" s="16">
        <f>wav2vec2_arabic!E62</f>
        <v>0.14285714285714279</v>
      </c>
      <c r="E62" s="6">
        <f>'whisper-base'!H62</f>
        <v>0.44257825613021851</v>
      </c>
      <c r="F62" s="6">
        <f>'whisper-large-v3'!H62</f>
        <v>1.0000002384185791</v>
      </c>
      <c r="G62">
        <f t="shared" si="1"/>
        <v>0.5574219822883606</v>
      </c>
      <c r="H62" s="15">
        <f>wav2vec2_arabic!H63</f>
        <v>0.5390007495880127</v>
      </c>
      <c r="I62">
        <f t="shared" si="2"/>
        <v>0</v>
      </c>
      <c r="J62">
        <f t="shared" si="3"/>
        <v>1</v>
      </c>
      <c r="K62" s="15">
        <f t="shared" si="4"/>
        <v>0</v>
      </c>
    </row>
    <row r="63" spans="1:11" x14ac:dyDescent="0.3">
      <c r="A63">
        <f>'whisper-base'!E63</f>
        <v>0.6</v>
      </c>
      <c r="B63" s="5">
        <f>'whisper-large-v3'!E63</f>
        <v>0</v>
      </c>
      <c r="C63" s="6">
        <f t="shared" si="0"/>
        <v>-0.6</v>
      </c>
      <c r="D63" s="16">
        <f>wav2vec2_arabic!E63</f>
        <v>0.2</v>
      </c>
      <c r="E63" s="6">
        <f>'whisper-base'!H63</f>
        <v>0.96706736087799072</v>
      </c>
      <c r="F63" s="6">
        <f>'whisper-large-v3'!H63</f>
        <v>0.99999988079071045</v>
      </c>
      <c r="G63">
        <f t="shared" si="1"/>
        <v>3.2932519912719727E-2</v>
      </c>
      <c r="H63" s="15">
        <f>wav2vec2_arabic!H64</f>
        <v>0.99999988079071045</v>
      </c>
      <c r="I63">
        <f t="shared" si="2"/>
        <v>1</v>
      </c>
      <c r="J63">
        <f t="shared" si="3"/>
        <v>1</v>
      </c>
      <c r="K63" s="15">
        <f t="shared" si="4"/>
        <v>1</v>
      </c>
    </row>
    <row r="64" spans="1:11" x14ac:dyDescent="0.3">
      <c r="A64">
        <f>'whisper-base'!E64</f>
        <v>0.33333333333333331</v>
      </c>
      <c r="B64" s="5">
        <f>'whisper-large-v3'!E64</f>
        <v>0</v>
      </c>
      <c r="C64" s="6">
        <f t="shared" si="0"/>
        <v>-0.33333333333333331</v>
      </c>
      <c r="D64" s="16">
        <f>wav2vec2_arabic!E64</f>
        <v>0.16666666666666671</v>
      </c>
      <c r="E64" s="6">
        <f>'whisper-base'!H64</f>
        <v>0.99999988079071045</v>
      </c>
      <c r="F64" s="6">
        <f>'whisper-large-v3'!H64</f>
        <v>0.99999988079071045</v>
      </c>
      <c r="G64">
        <f t="shared" si="1"/>
        <v>0</v>
      </c>
      <c r="H64" s="15">
        <f>wav2vec2_arabic!H65</f>
        <v>1.00000011920929</v>
      </c>
      <c r="I64">
        <f t="shared" si="2"/>
        <v>1</v>
      </c>
      <c r="J64">
        <f t="shared" si="3"/>
        <v>1</v>
      </c>
      <c r="K64" s="15">
        <f t="shared" si="4"/>
        <v>1</v>
      </c>
    </row>
    <row r="65" spans="1:11" x14ac:dyDescent="0.3">
      <c r="A65">
        <f>'whisper-base'!E65</f>
        <v>1</v>
      </c>
      <c r="B65" s="5">
        <f>'whisper-large-v3'!E65</f>
        <v>0.66666666666666663</v>
      </c>
      <c r="C65" s="6">
        <f t="shared" si="0"/>
        <v>-0.33333333333333337</v>
      </c>
      <c r="D65" s="16">
        <f>wav2vec2_arabic!E65</f>
        <v>0</v>
      </c>
      <c r="E65" s="6">
        <f>'whisper-base'!H65</f>
        <v>-1.059324573725462E-2</v>
      </c>
      <c r="F65" s="6">
        <f>'whisper-large-v3'!H65</f>
        <v>0.54131197929382324</v>
      </c>
      <c r="G65">
        <f t="shared" si="1"/>
        <v>0.55190522503107786</v>
      </c>
      <c r="H65" s="15">
        <f>wav2vec2_arabic!H66</f>
        <v>0.47954967617988592</v>
      </c>
      <c r="I65">
        <f t="shared" si="2"/>
        <v>0</v>
      </c>
      <c r="J65">
        <f t="shared" si="3"/>
        <v>0</v>
      </c>
      <c r="K65" s="15">
        <f t="shared" si="4"/>
        <v>0</v>
      </c>
    </row>
    <row r="66" spans="1:11" x14ac:dyDescent="0.3">
      <c r="A66">
        <f>'whisper-base'!E66</f>
        <v>0.8</v>
      </c>
      <c r="B66" s="5">
        <f>'whisper-large-v3'!E66</f>
        <v>0.2</v>
      </c>
      <c r="C66" s="6">
        <f t="shared" si="0"/>
        <v>-0.60000000000000009</v>
      </c>
      <c r="D66" s="16">
        <f>wav2vec2_arabic!E66</f>
        <v>0.2</v>
      </c>
      <c r="E66" s="6">
        <f>'whisper-base'!H66</f>
        <v>6.0340922325849533E-2</v>
      </c>
      <c r="F66" s="6">
        <f>'whisper-large-v3'!H66</f>
        <v>0.34681832790374761</v>
      </c>
      <c r="G66">
        <f t="shared" si="1"/>
        <v>0.28647740557789808</v>
      </c>
      <c r="H66" s="15">
        <f>wav2vec2_arabic!H67</f>
        <v>0.85937333106994629</v>
      </c>
      <c r="I66">
        <f t="shared" si="2"/>
        <v>0</v>
      </c>
      <c r="J66">
        <f t="shared" si="3"/>
        <v>0</v>
      </c>
      <c r="K66" s="15">
        <f t="shared" si="4"/>
        <v>1</v>
      </c>
    </row>
    <row r="67" spans="1:11" x14ac:dyDescent="0.3">
      <c r="A67">
        <f>'whisper-base'!E67</f>
        <v>0.8</v>
      </c>
      <c r="B67" s="5">
        <f>'whisper-large-v3'!E67</f>
        <v>0.2</v>
      </c>
      <c r="C67" s="6">
        <f t="shared" ref="C67:C101" si="5">B67-A67</f>
        <v>-0.60000000000000009</v>
      </c>
      <c r="D67" s="16">
        <f>wav2vec2_arabic!E67</f>
        <v>0.4</v>
      </c>
      <c r="E67" s="6">
        <f>'whisper-base'!H67</f>
        <v>0.40192386507987982</v>
      </c>
      <c r="F67" s="6">
        <f>'whisper-large-v3'!H67</f>
        <v>0.68062788248062134</v>
      </c>
      <c r="G67">
        <f t="shared" ref="G67:G101" si="6">F67-E67</f>
        <v>0.27870401740074152</v>
      </c>
      <c r="H67" s="15">
        <f>wav2vec2_arabic!H68</f>
        <v>0.64197784662246704</v>
      </c>
      <c r="I67">
        <f t="shared" ref="I67:I101" si="7">IF(E67&gt;=0.75, 1, 0)</f>
        <v>0</v>
      </c>
      <c r="J67">
        <f t="shared" ref="J67:J101" si="8">IF(F67&gt;=0.75, 1, 0)</f>
        <v>0</v>
      </c>
      <c r="K67" s="15">
        <f t="shared" ref="K67:K101" si="9">IF(H67&gt;=0.75, 1, 0)</f>
        <v>0</v>
      </c>
    </row>
    <row r="68" spans="1:11" x14ac:dyDescent="0.3">
      <c r="A68">
        <f>'whisper-base'!E68</f>
        <v>0.3</v>
      </c>
      <c r="B68" s="5">
        <f>'whisper-large-v3'!E68</f>
        <v>0.1</v>
      </c>
      <c r="C68" s="6">
        <f t="shared" si="5"/>
        <v>-0.19999999999999998</v>
      </c>
      <c r="D68" s="16">
        <f>wav2vec2_arabic!E68</f>
        <v>0.6</v>
      </c>
      <c r="E68" s="6">
        <f>'whisper-base'!H68</f>
        <v>0.68641412258148193</v>
      </c>
      <c r="F68" s="6">
        <f>'whisper-large-v3'!H68</f>
        <v>0.92965793609619141</v>
      </c>
      <c r="G68">
        <f t="shared" si="6"/>
        <v>0.24324381351470947</v>
      </c>
      <c r="H68" s="15">
        <f>wav2vec2_arabic!H69</f>
        <v>1.00000011920929</v>
      </c>
      <c r="I68">
        <f t="shared" si="7"/>
        <v>0</v>
      </c>
      <c r="J68">
        <f t="shared" si="8"/>
        <v>1</v>
      </c>
      <c r="K68" s="15">
        <f t="shared" si="9"/>
        <v>1</v>
      </c>
    </row>
    <row r="69" spans="1:11" x14ac:dyDescent="0.3">
      <c r="A69">
        <f>'whisper-base'!E69</f>
        <v>1</v>
      </c>
      <c r="B69" s="5">
        <f>'whisper-large-v3'!E69</f>
        <v>0</v>
      </c>
      <c r="C69" s="6">
        <f t="shared" si="5"/>
        <v>-1</v>
      </c>
      <c r="D69" s="16">
        <f>wav2vec2_arabic!E69</f>
        <v>0.33333333333333331</v>
      </c>
      <c r="E69" s="6">
        <f>'whisper-base'!H69</f>
        <v>0.13104258477687841</v>
      </c>
      <c r="F69" s="6">
        <f>'whisper-large-v3'!H69</f>
        <v>1.00000011920929</v>
      </c>
      <c r="G69">
        <f t="shared" si="6"/>
        <v>0.86895753443241164</v>
      </c>
      <c r="H69" s="15">
        <f>wav2vec2_arabic!H70</f>
        <v>0.99999994039535522</v>
      </c>
      <c r="I69">
        <f t="shared" si="7"/>
        <v>0</v>
      </c>
      <c r="J69">
        <f t="shared" si="8"/>
        <v>1</v>
      </c>
      <c r="K69" s="15">
        <f t="shared" si="9"/>
        <v>1</v>
      </c>
    </row>
    <row r="70" spans="1:11" x14ac:dyDescent="0.3">
      <c r="A70">
        <f>'whisper-base'!E70</f>
        <v>0.75</v>
      </c>
      <c r="B70" s="5">
        <f>'whisper-large-v3'!E70</f>
        <v>0</v>
      </c>
      <c r="C70" s="6">
        <f t="shared" si="5"/>
        <v>-0.75</v>
      </c>
      <c r="D70" s="16">
        <f>wav2vec2_arabic!E70</f>
        <v>0</v>
      </c>
      <c r="E70" s="6">
        <f>'whisper-base'!H70</f>
        <v>0.98927438259124756</v>
      </c>
      <c r="F70" s="6">
        <f>'whisper-large-v3'!H70</f>
        <v>0.99999994039535522</v>
      </c>
      <c r="G70">
        <f t="shared" si="6"/>
        <v>1.0725557804107666E-2</v>
      </c>
      <c r="H70" s="15">
        <f>wav2vec2_arabic!H71</f>
        <v>0.79851973056793213</v>
      </c>
      <c r="I70">
        <f t="shared" si="7"/>
        <v>1</v>
      </c>
      <c r="J70">
        <f t="shared" si="8"/>
        <v>1</v>
      </c>
      <c r="K70" s="15">
        <f t="shared" si="9"/>
        <v>1</v>
      </c>
    </row>
    <row r="71" spans="1:11" x14ac:dyDescent="0.3">
      <c r="A71">
        <f>'whisper-base'!E71</f>
        <v>0.16666666666666671</v>
      </c>
      <c r="B71" s="5">
        <f>'whisper-large-v3'!E71</f>
        <v>0</v>
      </c>
      <c r="C71" s="6">
        <f t="shared" si="5"/>
        <v>-0.16666666666666671</v>
      </c>
      <c r="D71" s="16">
        <f>wav2vec2_arabic!E71</f>
        <v>0.16666666666666671</v>
      </c>
      <c r="E71" s="6">
        <f>'whisper-base'!H71</f>
        <v>0.79851973056793213</v>
      </c>
      <c r="F71" s="6">
        <f>'whisper-large-v3'!H71</f>
        <v>1.00000011920929</v>
      </c>
      <c r="G71">
        <f t="shared" si="6"/>
        <v>0.20148038864135787</v>
      </c>
      <c r="H71" s="15">
        <f>wav2vec2_arabic!H72</f>
        <v>1</v>
      </c>
      <c r="I71">
        <f t="shared" si="7"/>
        <v>1</v>
      </c>
      <c r="J71">
        <f t="shared" si="8"/>
        <v>1</v>
      </c>
      <c r="K71" s="15">
        <f t="shared" si="9"/>
        <v>1</v>
      </c>
    </row>
    <row r="72" spans="1:11" x14ac:dyDescent="0.3">
      <c r="A72">
        <f>'whisper-base'!E72</f>
        <v>0.5714285714285714</v>
      </c>
      <c r="B72" s="5">
        <f>'whisper-large-v3'!E72</f>
        <v>0.42857142857142849</v>
      </c>
      <c r="C72" s="6">
        <f t="shared" si="5"/>
        <v>-0.1428571428571429</v>
      </c>
      <c r="D72" s="16">
        <f>wav2vec2_arabic!E72</f>
        <v>0.42857142857142849</v>
      </c>
      <c r="E72" s="6">
        <f>'whisper-base'!H72</f>
        <v>0.72383338212966919</v>
      </c>
      <c r="F72" s="6">
        <f>'whisper-large-v3'!H72</f>
        <v>0.72383338212966919</v>
      </c>
      <c r="G72">
        <f t="shared" si="6"/>
        <v>0</v>
      </c>
      <c r="H72" s="15">
        <f>wav2vec2_arabic!H73</f>
        <v>1.00000011920929</v>
      </c>
      <c r="I72">
        <f t="shared" si="7"/>
        <v>0</v>
      </c>
      <c r="J72">
        <f t="shared" si="8"/>
        <v>0</v>
      </c>
      <c r="K72" s="15">
        <f t="shared" si="9"/>
        <v>1</v>
      </c>
    </row>
    <row r="73" spans="1:11" x14ac:dyDescent="0.3">
      <c r="A73">
        <f>'whisper-base'!E73</f>
        <v>1</v>
      </c>
      <c r="B73" s="5">
        <f>'whisper-large-v3'!E73</f>
        <v>0</v>
      </c>
      <c r="C73" s="6">
        <f t="shared" si="5"/>
        <v>-1</v>
      </c>
      <c r="D73" s="16">
        <f>wav2vec2_arabic!E73</f>
        <v>0</v>
      </c>
      <c r="E73" s="6">
        <f>'whisper-base'!H73</f>
        <v>1.8437586724758152E-2</v>
      </c>
      <c r="F73" s="6">
        <f>'whisper-large-v3'!H73</f>
        <v>1.00000011920929</v>
      </c>
      <c r="G73">
        <f t="shared" si="6"/>
        <v>0.98156253248453185</v>
      </c>
      <c r="H73" s="15">
        <f>wav2vec2_arabic!H74</f>
        <v>1.00000011920929</v>
      </c>
      <c r="I73">
        <f t="shared" si="7"/>
        <v>0</v>
      </c>
      <c r="J73">
        <f t="shared" si="8"/>
        <v>1</v>
      </c>
      <c r="K73" s="15">
        <f t="shared" si="9"/>
        <v>1</v>
      </c>
    </row>
    <row r="74" spans="1:11" x14ac:dyDescent="0.3">
      <c r="A74">
        <f>'whisper-base'!E74</f>
        <v>0</v>
      </c>
      <c r="B74" s="5">
        <f>'whisper-large-v3'!E74</f>
        <v>0</v>
      </c>
      <c r="C74" s="6">
        <f t="shared" si="5"/>
        <v>0</v>
      </c>
      <c r="D74" s="16">
        <f>wav2vec2_arabic!E74</f>
        <v>0</v>
      </c>
      <c r="E74" s="6">
        <f>'whisper-base'!H74</f>
        <v>1.00000011920929</v>
      </c>
      <c r="F74" s="6">
        <f>'whisper-large-v3'!H74</f>
        <v>1.00000011920929</v>
      </c>
      <c r="G74">
        <f t="shared" si="6"/>
        <v>0</v>
      </c>
      <c r="H74" s="15">
        <f>wav2vec2_arabic!H75</f>
        <v>1</v>
      </c>
      <c r="I74">
        <f t="shared" si="7"/>
        <v>1</v>
      </c>
      <c r="J74">
        <f t="shared" si="8"/>
        <v>1</v>
      </c>
      <c r="K74" s="15">
        <f t="shared" si="9"/>
        <v>1</v>
      </c>
    </row>
    <row r="75" spans="1:11" x14ac:dyDescent="0.3">
      <c r="A75">
        <f>'whisper-base'!E75</f>
        <v>1</v>
      </c>
      <c r="B75" s="5">
        <f>'whisper-large-v3'!E75</f>
        <v>0</v>
      </c>
      <c r="C75" s="6">
        <f t="shared" si="5"/>
        <v>-1</v>
      </c>
      <c r="D75" s="16">
        <f>wav2vec2_arabic!E75</f>
        <v>0.25</v>
      </c>
      <c r="E75" s="6">
        <f>'whisper-base'!H75</f>
        <v>0.16181020438671109</v>
      </c>
      <c r="F75" s="6">
        <f>'whisper-large-v3'!H75</f>
        <v>1</v>
      </c>
      <c r="G75">
        <f t="shared" si="6"/>
        <v>0.83818979561328888</v>
      </c>
      <c r="H75" s="15">
        <f>wav2vec2_arabic!H76</f>
        <v>1</v>
      </c>
      <c r="I75">
        <f t="shared" si="7"/>
        <v>0</v>
      </c>
      <c r="J75">
        <f t="shared" si="8"/>
        <v>1</v>
      </c>
      <c r="K75" s="15">
        <f t="shared" si="9"/>
        <v>1</v>
      </c>
    </row>
    <row r="76" spans="1:11" x14ac:dyDescent="0.3">
      <c r="A76">
        <f>'whisper-base'!E76</f>
        <v>1.666666666666667</v>
      </c>
      <c r="B76" s="5">
        <f>'whisper-large-v3'!E76</f>
        <v>0</v>
      </c>
      <c r="C76" s="6">
        <f t="shared" si="5"/>
        <v>-1.666666666666667</v>
      </c>
      <c r="D76" s="16">
        <f>wav2vec2_arabic!E76</f>
        <v>0</v>
      </c>
      <c r="E76" s="6">
        <f>'whisper-base'!H76</f>
        <v>0.1434168815612793</v>
      </c>
      <c r="F76" s="6">
        <f>'whisper-large-v3'!H76</f>
        <v>1</v>
      </c>
      <c r="G76">
        <f t="shared" si="6"/>
        <v>0.8565831184387207</v>
      </c>
      <c r="H76" s="15">
        <f>wav2vec2_arabic!H77</f>
        <v>1</v>
      </c>
      <c r="I76">
        <f t="shared" si="7"/>
        <v>0</v>
      </c>
      <c r="J76">
        <f t="shared" si="8"/>
        <v>1</v>
      </c>
      <c r="K76" s="15">
        <f t="shared" si="9"/>
        <v>1</v>
      </c>
    </row>
    <row r="77" spans="1:11" x14ac:dyDescent="0.3">
      <c r="A77">
        <f>'whisper-base'!E77</f>
        <v>1.25</v>
      </c>
      <c r="B77" s="5">
        <f>'whisper-large-v3'!E77</f>
        <v>0</v>
      </c>
      <c r="C77" s="6">
        <f t="shared" si="5"/>
        <v>-1.25</v>
      </c>
      <c r="D77" s="16">
        <f>wav2vec2_arabic!E77</f>
        <v>0.25</v>
      </c>
      <c r="E77" s="6">
        <f>'whisper-base'!H77</f>
        <v>0.2478972673416138</v>
      </c>
      <c r="F77" s="6">
        <f>'whisper-large-v3'!H77</f>
        <v>1</v>
      </c>
      <c r="G77">
        <f t="shared" si="6"/>
        <v>0.75210273265838623</v>
      </c>
      <c r="H77" s="15">
        <f>wav2vec2_arabic!H78</f>
        <v>0.83503836393356323</v>
      </c>
      <c r="I77">
        <f t="shared" si="7"/>
        <v>0</v>
      </c>
      <c r="J77">
        <f t="shared" si="8"/>
        <v>1</v>
      </c>
      <c r="K77" s="15">
        <f t="shared" si="9"/>
        <v>1</v>
      </c>
    </row>
    <row r="78" spans="1:11" x14ac:dyDescent="0.3">
      <c r="A78">
        <f>'whisper-base'!E78</f>
        <v>37</v>
      </c>
      <c r="B78" s="5">
        <f>'whisper-large-v3'!E78</f>
        <v>0.75</v>
      </c>
      <c r="C78" s="6">
        <f t="shared" si="5"/>
        <v>-36.25</v>
      </c>
      <c r="D78" s="16">
        <f>wav2vec2_arabic!E78</f>
        <v>0.75</v>
      </c>
      <c r="E78" s="6">
        <f>'whisper-base'!H78</f>
        <v>-5.5422760546207428E-2</v>
      </c>
      <c r="F78" s="6">
        <f>'whisper-large-v3'!H78</f>
        <v>0.51466172933578491</v>
      </c>
      <c r="G78">
        <f t="shared" si="6"/>
        <v>0.57008448988199234</v>
      </c>
      <c r="H78" s="15">
        <f>wav2vec2_arabic!H79</f>
        <v>0.24166867136955261</v>
      </c>
      <c r="I78">
        <f t="shared" si="7"/>
        <v>0</v>
      </c>
      <c r="J78">
        <f t="shared" si="8"/>
        <v>0</v>
      </c>
      <c r="K78" s="15">
        <f t="shared" si="9"/>
        <v>0</v>
      </c>
    </row>
    <row r="79" spans="1:11" x14ac:dyDescent="0.3">
      <c r="A79">
        <f>'whisper-base'!E79</f>
        <v>1</v>
      </c>
      <c r="B79" s="5">
        <f>'whisper-large-v3'!E79</f>
        <v>1</v>
      </c>
      <c r="C79" s="6">
        <f t="shared" si="5"/>
        <v>0</v>
      </c>
      <c r="D79" s="16">
        <f>wav2vec2_arabic!E79</f>
        <v>1</v>
      </c>
      <c r="E79" s="6">
        <f>'whisper-base'!H79</f>
        <v>2.3152250796556469E-2</v>
      </c>
      <c r="F79" s="6">
        <f>'whisper-large-v3'!H79</f>
        <v>7.7558375895023346E-2</v>
      </c>
      <c r="G79">
        <f t="shared" si="6"/>
        <v>5.4406125098466873E-2</v>
      </c>
      <c r="H79" s="15">
        <f>wav2vec2_arabic!H80</f>
        <v>0.26109665632247919</v>
      </c>
      <c r="I79">
        <f t="shared" si="7"/>
        <v>0</v>
      </c>
      <c r="J79">
        <f t="shared" si="8"/>
        <v>0</v>
      </c>
      <c r="K79" s="15">
        <f t="shared" si="9"/>
        <v>0</v>
      </c>
    </row>
    <row r="80" spans="1:11" x14ac:dyDescent="0.3">
      <c r="A80">
        <f>'whisper-base'!E80</f>
        <v>1</v>
      </c>
      <c r="B80" s="5">
        <f>'whisper-large-v3'!E80</f>
        <v>0</v>
      </c>
      <c r="C80" s="6">
        <f t="shared" si="5"/>
        <v>-1</v>
      </c>
      <c r="D80" s="16">
        <f>wav2vec2_arabic!E80</f>
        <v>0.5</v>
      </c>
      <c r="E80" s="6">
        <f>'whisper-base'!H80</f>
        <v>0.1914719492197037</v>
      </c>
      <c r="F80" s="6">
        <f>'whisper-large-v3'!H80</f>
        <v>0.99999994039535522</v>
      </c>
      <c r="G80">
        <f t="shared" si="6"/>
        <v>0.80852799117565155</v>
      </c>
      <c r="H80" s="15">
        <f>wav2vec2_arabic!H81</f>
        <v>0.53660047054290771</v>
      </c>
      <c r="I80">
        <f t="shared" si="7"/>
        <v>0</v>
      </c>
      <c r="J80">
        <f t="shared" si="8"/>
        <v>1</v>
      </c>
      <c r="K80" s="15">
        <f t="shared" si="9"/>
        <v>0</v>
      </c>
    </row>
    <row r="81" spans="1:11" x14ac:dyDescent="0.3">
      <c r="A81">
        <f>'whisper-base'!E81</f>
        <v>1</v>
      </c>
      <c r="B81" s="5">
        <f>'whisper-large-v3'!E81</f>
        <v>1</v>
      </c>
      <c r="C81" s="6">
        <f t="shared" si="5"/>
        <v>0</v>
      </c>
      <c r="D81" s="16">
        <f>wav2vec2_arabic!E81</f>
        <v>0.33333333333333331</v>
      </c>
      <c r="E81" s="6">
        <f>'whisper-base'!H81</f>
        <v>0.25752788782119751</v>
      </c>
      <c r="F81" s="6">
        <f>'whisper-large-v3'!H81</f>
        <v>0.1288997828960419</v>
      </c>
      <c r="G81">
        <f t="shared" si="6"/>
        <v>-0.12862810492515561</v>
      </c>
      <c r="H81" s="15">
        <f>wav2vec2_arabic!H82</f>
        <v>1</v>
      </c>
      <c r="I81">
        <f t="shared" si="7"/>
        <v>0</v>
      </c>
      <c r="J81">
        <f t="shared" si="8"/>
        <v>0</v>
      </c>
      <c r="K81" s="15">
        <f t="shared" si="9"/>
        <v>1</v>
      </c>
    </row>
    <row r="82" spans="1:11" x14ac:dyDescent="0.3">
      <c r="A82">
        <f>'whisper-base'!E82</f>
        <v>0.66666666666666663</v>
      </c>
      <c r="B82" s="5">
        <f>'whisper-large-v3'!E82</f>
        <v>0.66666666666666663</v>
      </c>
      <c r="C82" s="6">
        <f t="shared" si="5"/>
        <v>0</v>
      </c>
      <c r="D82" s="16">
        <f>wav2vec2_arabic!E82</f>
        <v>0.33333333333333331</v>
      </c>
      <c r="E82" s="6">
        <f>'whisper-base'!H82</f>
        <v>1</v>
      </c>
      <c r="F82" s="6">
        <f>'whisper-large-v3'!H82</f>
        <v>1</v>
      </c>
      <c r="G82">
        <f t="shared" si="6"/>
        <v>0</v>
      </c>
      <c r="H82" s="15">
        <f>wav2vec2_arabic!H83</f>
        <v>1</v>
      </c>
      <c r="I82">
        <f t="shared" si="7"/>
        <v>1</v>
      </c>
      <c r="J82">
        <f t="shared" si="8"/>
        <v>1</v>
      </c>
      <c r="K82" s="15">
        <f t="shared" si="9"/>
        <v>1</v>
      </c>
    </row>
    <row r="83" spans="1:11" x14ac:dyDescent="0.3">
      <c r="A83">
        <f>'whisper-base'!E83</f>
        <v>0.8571428571428571</v>
      </c>
      <c r="B83" s="5">
        <f>'whisper-large-v3'!E83</f>
        <v>0.14285714285714279</v>
      </c>
      <c r="C83" s="6">
        <f t="shared" si="5"/>
        <v>-0.7142857142857143</v>
      </c>
      <c r="D83" s="16">
        <f>wav2vec2_arabic!E83</f>
        <v>0.14285714285714279</v>
      </c>
      <c r="E83" s="6">
        <f>'whisper-base'!H83</f>
        <v>0.36957472562789923</v>
      </c>
      <c r="F83" s="6">
        <f>'whisper-large-v3'!H83</f>
        <v>0.45813319087028498</v>
      </c>
      <c r="G83">
        <f t="shared" si="6"/>
        <v>8.8558465242385753E-2</v>
      </c>
      <c r="H83" s="15">
        <f>wav2vec2_arabic!H84</f>
        <v>0.98480850458145142</v>
      </c>
      <c r="I83">
        <f t="shared" si="7"/>
        <v>0</v>
      </c>
      <c r="J83">
        <f t="shared" si="8"/>
        <v>0</v>
      </c>
      <c r="K83" s="15">
        <f t="shared" si="9"/>
        <v>1</v>
      </c>
    </row>
    <row r="84" spans="1:11" x14ac:dyDescent="0.3">
      <c r="A84">
        <f>'whisper-base'!E84</f>
        <v>0</v>
      </c>
      <c r="B84" s="5">
        <f>'whisper-large-v3'!E84</f>
        <v>0.25</v>
      </c>
      <c r="C84" s="6">
        <f t="shared" si="5"/>
        <v>0.25</v>
      </c>
      <c r="D84" s="16">
        <f>wav2vec2_arabic!E84</f>
        <v>1.25</v>
      </c>
      <c r="E84" s="6">
        <f>'whisper-base'!H84</f>
        <v>0.9999997615814209</v>
      </c>
      <c r="F84" s="6">
        <f>'whisper-large-v3'!H84</f>
        <v>0.9999997615814209</v>
      </c>
      <c r="G84">
        <f t="shared" si="6"/>
        <v>0</v>
      </c>
      <c r="H84" s="15">
        <f>wav2vec2_arabic!H85</f>
        <v>1</v>
      </c>
      <c r="I84">
        <f t="shared" si="7"/>
        <v>1</v>
      </c>
      <c r="J84">
        <f t="shared" si="8"/>
        <v>1</v>
      </c>
      <c r="K84" s="15">
        <f t="shared" si="9"/>
        <v>1</v>
      </c>
    </row>
    <row r="85" spans="1:11" x14ac:dyDescent="0.3">
      <c r="A85">
        <f>'whisper-base'!E85</f>
        <v>0.66666666666666663</v>
      </c>
      <c r="B85" s="5">
        <f>'whisper-large-v3'!E85</f>
        <v>0.33333333333333331</v>
      </c>
      <c r="C85" s="6">
        <f t="shared" si="5"/>
        <v>-0.33333333333333331</v>
      </c>
      <c r="D85" s="16">
        <f>wav2vec2_arabic!E85</f>
        <v>0</v>
      </c>
      <c r="E85" s="6">
        <f>'whisper-base'!H85</f>
        <v>0.62865197658538818</v>
      </c>
      <c r="F85" s="6">
        <f>'whisper-large-v3'!H85</f>
        <v>1</v>
      </c>
      <c r="G85">
        <f t="shared" si="6"/>
        <v>0.37134802341461182</v>
      </c>
      <c r="H85" s="15">
        <f>wav2vec2_arabic!H86</f>
        <v>1.00000011920929</v>
      </c>
      <c r="I85">
        <f t="shared" si="7"/>
        <v>0</v>
      </c>
      <c r="J85">
        <f t="shared" si="8"/>
        <v>1</v>
      </c>
      <c r="K85" s="15">
        <f t="shared" si="9"/>
        <v>1</v>
      </c>
    </row>
    <row r="86" spans="1:11" x14ac:dyDescent="0.3">
      <c r="A86">
        <f>'whisper-base'!E86</f>
        <v>0.33333333333333331</v>
      </c>
      <c r="B86" s="5">
        <f>'whisper-large-v3'!E86</f>
        <v>0</v>
      </c>
      <c r="C86" s="6">
        <f t="shared" si="5"/>
        <v>-0.33333333333333331</v>
      </c>
      <c r="D86" s="16">
        <f>wav2vec2_arabic!E86</f>
        <v>0</v>
      </c>
      <c r="E86" s="6">
        <f>'whisper-base'!H86</f>
        <v>0.64542430639266968</v>
      </c>
      <c r="F86" s="6">
        <f>'whisper-large-v3'!H86</f>
        <v>1.00000011920929</v>
      </c>
      <c r="G86">
        <f t="shared" si="6"/>
        <v>0.35457581281662032</v>
      </c>
      <c r="H86" s="15">
        <f>wav2vec2_arabic!H87</f>
        <v>1</v>
      </c>
      <c r="I86">
        <f t="shared" si="7"/>
        <v>0</v>
      </c>
      <c r="J86">
        <f t="shared" si="8"/>
        <v>1</v>
      </c>
      <c r="K86" s="15">
        <f t="shared" si="9"/>
        <v>1</v>
      </c>
    </row>
    <row r="87" spans="1:11" x14ac:dyDescent="0.3">
      <c r="A87">
        <f>'whisper-base'!E87</f>
        <v>1</v>
      </c>
      <c r="B87" s="5">
        <f>'whisper-large-v3'!E87</f>
        <v>0</v>
      </c>
      <c r="C87" s="6">
        <f t="shared" si="5"/>
        <v>-1</v>
      </c>
      <c r="D87" s="16">
        <f>wav2vec2_arabic!E87</f>
        <v>0</v>
      </c>
      <c r="E87" s="6">
        <f>'whisper-base'!H87</f>
        <v>0.37523728609085077</v>
      </c>
      <c r="F87" s="6">
        <f>'whisper-large-v3'!H87</f>
        <v>1</v>
      </c>
      <c r="G87">
        <f t="shared" si="6"/>
        <v>0.62476271390914917</v>
      </c>
      <c r="H87" s="15">
        <f>wav2vec2_arabic!H88</f>
        <v>1.0000002384185791</v>
      </c>
      <c r="I87">
        <f t="shared" si="7"/>
        <v>0</v>
      </c>
      <c r="J87">
        <f t="shared" si="8"/>
        <v>1</v>
      </c>
      <c r="K87" s="15">
        <f t="shared" si="9"/>
        <v>1</v>
      </c>
    </row>
    <row r="88" spans="1:11" x14ac:dyDescent="0.3">
      <c r="A88">
        <f>'whisper-base'!E88</f>
        <v>0.25</v>
      </c>
      <c r="B88" s="5">
        <f>'whisper-large-v3'!E88</f>
        <v>0.25</v>
      </c>
      <c r="C88" s="6">
        <f t="shared" si="5"/>
        <v>0</v>
      </c>
      <c r="D88" s="16">
        <f>wav2vec2_arabic!E88</f>
        <v>0.25</v>
      </c>
      <c r="E88" s="6">
        <f>'whisper-base'!H88</f>
        <v>1.0000002384185791</v>
      </c>
      <c r="F88" s="6">
        <f>'whisper-large-v3'!H88</f>
        <v>1.0000002384185791</v>
      </c>
      <c r="G88">
        <f t="shared" si="6"/>
        <v>0</v>
      </c>
      <c r="H88" s="15">
        <f>wav2vec2_arabic!H89</f>
        <v>1.0000002384185791</v>
      </c>
      <c r="I88">
        <f t="shared" si="7"/>
        <v>1</v>
      </c>
      <c r="J88">
        <f t="shared" si="8"/>
        <v>1</v>
      </c>
      <c r="K88" s="15">
        <f t="shared" si="9"/>
        <v>1</v>
      </c>
    </row>
    <row r="89" spans="1:11" x14ac:dyDescent="0.3">
      <c r="A89">
        <f>'whisper-base'!E89</f>
        <v>0.2</v>
      </c>
      <c r="B89" s="5">
        <f>'whisper-large-v3'!E89</f>
        <v>0</v>
      </c>
      <c r="C89" s="6">
        <f t="shared" si="5"/>
        <v>-0.2</v>
      </c>
      <c r="D89" s="16">
        <f>wav2vec2_arabic!E89</f>
        <v>0</v>
      </c>
      <c r="E89" s="6">
        <f>'whisper-base'!H89</f>
        <v>0.72023451328277588</v>
      </c>
      <c r="F89" s="6">
        <f>'whisper-large-v3'!H89</f>
        <v>1.0000002384185791</v>
      </c>
      <c r="G89">
        <f t="shared" si="6"/>
        <v>0.27976572513580322</v>
      </c>
      <c r="H89" s="15">
        <f>wav2vec2_arabic!H90</f>
        <v>1.0000002384185791</v>
      </c>
      <c r="I89">
        <f t="shared" si="7"/>
        <v>0</v>
      </c>
      <c r="J89">
        <f t="shared" si="8"/>
        <v>1</v>
      </c>
      <c r="K89" s="15">
        <f t="shared" si="9"/>
        <v>1</v>
      </c>
    </row>
    <row r="90" spans="1:11" x14ac:dyDescent="0.3">
      <c r="A90">
        <f>'whisper-base'!E90</f>
        <v>0.8571428571428571</v>
      </c>
      <c r="B90" s="5">
        <f>'whisper-large-v3'!E90</f>
        <v>0</v>
      </c>
      <c r="C90" s="6">
        <f t="shared" si="5"/>
        <v>-0.8571428571428571</v>
      </c>
      <c r="D90" s="16">
        <f>wav2vec2_arabic!E90</f>
        <v>0</v>
      </c>
      <c r="E90" s="6">
        <f>'whisper-base'!H90</f>
        <v>4.7507055103778839E-2</v>
      </c>
      <c r="F90" s="6">
        <f>'whisper-large-v3'!H90</f>
        <v>1.0000002384185791</v>
      </c>
      <c r="G90">
        <f t="shared" si="6"/>
        <v>0.95249318331480026</v>
      </c>
      <c r="H90" s="15">
        <f>wav2vec2_arabic!H91</f>
        <v>0.9999997615814209</v>
      </c>
      <c r="I90">
        <f t="shared" si="7"/>
        <v>0</v>
      </c>
      <c r="J90">
        <f t="shared" si="8"/>
        <v>1</v>
      </c>
      <c r="K90" s="15">
        <f t="shared" si="9"/>
        <v>1</v>
      </c>
    </row>
    <row r="91" spans="1:11" x14ac:dyDescent="0.3">
      <c r="A91">
        <f>'whisper-base'!E91</f>
        <v>0.8</v>
      </c>
      <c r="B91" s="5">
        <f>'whisper-large-v3'!E91</f>
        <v>0</v>
      </c>
      <c r="C91" s="6">
        <f t="shared" si="5"/>
        <v>-0.8</v>
      </c>
      <c r="D91" s="16">
        <f>wav2vec2_arabic!E91</f>
        <v>0</v>
      </c>
      <c r="E91" s="6">
        <f>'whisper-base'!H91</f>
        <v>0.27129131555557251</v>
      </c>
      <c r="F91" s="6">
        <f>'whisper-large-v3'!H91</f>
        <v>0.9999997615814209</v>
      </c>
      <c r="G91">
        <f t="shared" si="6"/>
        <v>0.72870844602584839</v>
      </c>
      <c r="H91" s="15">
        <f>wav2vec2_arabic!H92</f>
        <v>0.67245244979858398</v>
      </c>
      <c r="I91">
        <f t="shared" si="7"/>
        <v>0</v>
      </c>
      <c r="J91">
        <f t="shared" si="8"/>
        <v>1</v>
      </c>
      <c r="K91" s="15">
        <f t="shared" si="9"/>
        <v>0</v>
      </c>
    </row>
    <row r="92" spans="1:11" x14ac:dyDescent="0.3">
      <c r="A92">
        <f>'whisper-base'!E92</f>
        <v>0.8</v>
      </c>
      <c r="B92" s="5">
        <f>'whisper-large-v3'!E92</f>
        <v>0.4</v>
      </c>
      <c r="C92" s="6">
        <f t="shared" si="5"/>
        <v>-0.4</v>
      </c>
      <c r="D92" s="16">
        <f>wav2vec2_arabic!E92</f>
        <v>0.6</v>
      </c>
      <c r="E92" s="6">
        <f>'whisper-base'!H92</f>
        <v>0.38401356339454651</v>
      </c>
      <c r="F92" s="6">
        <f>'whisper-large-v3'!H92</f>
        <v>0.89645522832870483</v>
      </c>
      <c r="G92">
        <f t="shared" si="6"/>
        <v>0.51244166493415833</v>
      </c>
      <c r="H92" s="15">
        <f>wav2vec2_arabic!H93</f>
        <v>0.99999988079071045</v>
      </c>
      <c r="I92">
        <f t="shared" si="7"/>
        <v>0</v>
      </c>
      <c r="J92">
        <f t="shared" si="8"/>
        <v>1</v>
      </c>
      <c r="K92" s="15">
        <f t="shared" si="9"/>
        <v>1</v>
      </c>
    </row>
    <row r="93" spans="1:11" x14ac:dyDescent="0.3">
      <c r="A93">
        <f>'whisper-base'!E93</f>
        <v>0.5</v>
      </c>
      <c r="B93" s="5">
        <f>'whisper-large-v3'!E93</f>
        <v>0</v>
      </c>
      <c r="C93" s="6">
        <f t="shared" si="5"/>
        <v>-0.5</v>
      </c>
      <c r="D93" s="16">
        <f>wav2vec2_arabic!E93</f>
        <v>0</v>
      </c>
      <c r="E93" s="6">
        <f>'whisper-base'!H93</f>
        <v>0.83618956804275513</v>
      </c>
      <c r="F93" s="6">
        <f>'whisper-large-v3'!H93</f>
        <v>0.99999988079071045</v>
      </c>
      <c r="G93">
        <f t="shared" si="6"/>
        <v>0.16381031274795532</v>
      </c>
      <c r="H93" s="15">
        <f>wav2vec2_arabic!H94</f>
        <v>0.86750668287277222</v>
      </c>
      <c r="I93">
        <f t="shared" si="7"/>
        <v>1</v>
      </c>
      <c r="J93">
        <f t="shared" si="8"/>
        <v>1</v>
      </c>
      <c r="K93" s="15">
        <f t="shared" si="9"/>
        <v>1</v>
      </c>
    </row>
    <row r="94" spans="1:11" x14ac:dyDescent="0.3">
      <c r="A94">
        <f>'whisper-base'!E94</f>
        <v>1</v>
      </c>
      <c r="B94" s="5">
        <f>'whisper-large-v3'!E94</f>
        <v>0</v>
      </c>
      <c r="C94" s="6">
        <f t="shared" si="5"/>
        <v>-1</v>
      </c>
      <c r="D94" s="16">
        <f>wav2vec2_arabic!E94</f>
        <v>1</v>
      </c>
      <c r="E94" s="6">
        <f>'whisper-base'!H94</f>
        <v>0.47174209356307978</v>
      </c>
      <c r="F94" s="6">
        <f>'whisper-large-v3'!H94</f>
        <v>1.00000011920929</v>
      </c>
      <c r="G94">
        <f t="shared" si="6"/>
        <v>0.52825802564621016</v>
      </c>
      <c r="H94" s="15">
        <f>wav2vec2_arabic!H95</f>
        <v>1.00000011920929</v>
      </c>
      <c r="I94">
        <f t="shared" si="7"/>
        <v>0</v>
      </c>
      <c r="J94">
        <f t="shared" si="8"/>
        <v>1</v>
      </c>
      <c r="K94" s="15">
        <f t="shared" si="9"/>
        <v>1</v>
      </c>
    </row>
    <row r="95" spans="1:11" x14ac:dyDescent="0.3">
      <c r="A95">
        <f>'whisper-base'!E95</f>
        <v>0.625</v>
      </c>
      <c r="B95" s="5">
        <f>'whisper-large-v3'!E95</f>
        <v>0.125</v>
      </c>
      <c r="C95" s="6">
        <f t="shared" si="5"/>
        <v>-0.5</v>
      </c>
      <c r="D95" s="16">
        <f>wav2vec2_arabic!E95</f>
        <v>0.25</v>
      </c>
      <c r="E95" s="6">
        <f>'whisper-base'!H95</f>
        <v>0.25295090675353998</v>
      </c>
      <c r="F95" s="6">
        <f>'whisper-large-v3'!H95</f>
        <v>1.00000011920929</v>
      </c>
      <c r="G95">
        <f t="shared" si="6"/>
        <v>0.74704921245574996</v>
      </c>
      <c r="H95" s="15">
        <f>wav2vec2_arabic!H96</f>
        <v>0.46461623907089228</v>
      </c>
      <c r="I95">
        <f t="shared" si="7"/>
        <v>0</v>
      </c>
      <c r="J95">
        <f t="shared" si="8"/>
        <v>1</v>
      </c>
      <c r="K95" s="15">
        <f t="shared" si="9"/>
        <v>0</v>
      </c>
    </row>
    <row r="96" spans="1:11" x14ac:dyDescent="0.3">
      <c r="A96">
        <f>'whisper-base'!E96</f>
        <v>0.66666666666666663</v>
      </c>
      <c r="B96" s="5">
        <f>'whisper-large-v3'!E96</f>
        <v>0.33333333333333331</v>
      </c>
      <c r="C96" s="6">
        <f t="shared" si="5"/>
        <v>-0.33333333333333331</v>
      </c>
      <c r="D96" s="16">
        <f>wav2vec2_arabic!E96</f>
        <v>0.66666666666666663</v>
      </c>
      <c r="E96" s="6">
        <f>'whisper-base'!H96</f>
        <v>0.43852174282073969</v>
      </c>
      <c r="F96" s="6">
        <f>'whisper-large-v3'!H96</f>
        <v>1</v>
      </c>
      <c r="G96">
        <f t="shared" si="6"/>
        <v>0.56147825717926025</v>
      </c>
      <c r="H96" s="15">
        <f>wav2vec2_arabic!H97</f>
        <v>1.0000002384185791</v>
      </c>
      <c r="I96">
        <f t="shared" si="7"/>
        <v>0</v>
      </c>
      <c r="J96">
        <f t="shared" si="8"/>
        <v>1</v>
      </c>
      <c r="K96" s="15">
        <f t="shared" si="9"/>
        <v>1</v>
      </c>
    </row>
    <row r="97" spans="1:11" x14ac:dyDescent="0.3">
      <c r="A97">
        <f>'whisper-base'!E97</f>
        <v>1</v>
      </c>
      <c r="B97" s="5">
        <f>'whisper-large-v3'!E97</f>
        <v>0.66666666666666663</v>
      </c>
      <c r="C97" s="6">
        <f t="shared" si="5"/>
        <v>-0.33333333333333337</v>
      </c>
      <c r="D97" s="16">
        <f>wav2vec2_arabic!E97</f>
        <v>0</v>
      </c>
      <c r="E97" s="6">
        <f>'whisper-base'!H97</f>
        <v>0.32894977927207952</v>
      </c>
      <c r="F97" s="6">
        <f>'whisper-large-v3'!H97</f>
        <v>1.0000002384185791</v>
      </c>
      <c r="G97">
        <f t="shared" si="6"/>
        <v>0.67105045914649963</v>
      </c>
      <c r="H97" s="15">
        <f>wav2vec2_arabic!H98</f>
        <v>1</v>
      </c>
      <c r="I97">
        <f t="shared" si="7"/>
        <v>0</v>
      </c>
      <c r="J97">
        <f t="shared" si="8"/>
        <v>1</v>
      </c>
      <c r="K97" s="15">
        <f t="shared" si="9"/>
        <v>1</v>
      </c>
    </row>
    <row r="98" spans="1:11" x14ac:dyDescent="0.3">
      <c r="A98">
        <f>'whisper-base'!E98</f>
        <v>0.5</v>
      </c>
      <c r="B98" s="5">
        <f>'whisper-large-v3'!E98</f>
        <v>0</v>
      </c>
      <c r="C98" s="6">
        <f t="shared" si="5"/>
        <v>-0.5</v>
      </c>
      <c r="D98" s="16">
        <f>wav2vec2_arabic!E98</f>
        <v>0</v>
      </c>
      <c r="E98" s="6">
        <f>'whisper-base'!H98</f>
        <v>0.52061766386032104</v>
      </c>
      <c r="F98" s="6">
        <f>'whisper-large-v3'!H98</f>
        <v>1</v>
      </c>
      <c r="G98">
        <f t="shared" si="6"/>
        <v>0.47938233613967896</v>
      </c>
      <c r="H98" s="15">
        <f>wav2vec2_arabic!H99</f>
        <v>1.00000011920929</v>
      </c>
      <c r="I98">
        <f t="shared" si="7"/>
        <v>0</v>
      </c>
      <c r="J98">
        <f t="shared" si="8"/>
        <v>1</v>
      </c>
      <c r="K98" s="15">
        <f t="shared" si="9"/>
        <v>1</v>
      </c>
    </row>
    <row r="99" spans="1:11" x14ac:dyDescent="0.3">
      <c r="A99">
        <f>'whisper-base'!E99</f>
        <v>0</v>
      </c>
      <c r="B99" s="5">
        <f>'whisper-large-v3'!E99</f>
        <v>0</v>
      </c>
      <c r="C99" s="6">
        <f t="shared" si="5"/>
        <v>0</v>
      </c>
      <c r="D99" s="16">
        <f>wav2vec2_arabic!E99</f>
        <v>0</v>
      </c>
      <c r="E99" s="6">
        <f>'whisper-base'!H99</f>
        <v>1.00000011920929</v>
      </c>
      <c r="F99" s="6">
        <f>'whisper-large-v3'!H99</f>
        <v>1.00000011920929</v>
      </c>
      <c r="G99">
        <f t="shared" si="6"/>
        <v>0</v>
      </c>
      <c r="H99" s="15">
        <f>wav2vec2_arabic!H100</f>
        <v>1</v>
      </c>
      <c r="I99">
        <f t="shared" si="7"/>
        <v>1</v>
      </c>
      <c r="J99">
        <f t="shared" si="8"/>
        <v>1</v>
      </c>
      <c r="K99" s="15">
        <f t="shared" si="9"/>
        <v>1</v>
      </c>
    </row>
    <row r="100" spans="1:11" x14ac:dyDescent="0.3">
      <c r="A100">
        <f>'whisper-base'!E100</f>
        <v>0.75</v>
      </c>
      <c r="B100" s="5">
        <f>'whisper-large-v3'!E100</f>
        <v>0.25</v>
      </c>
      <c r="C100" s="6">
        <f t="shared" si="5"/>
        <v>-0.5</v>
      </c>
      <c r="D100" s="16">
        <f>wav2vec2_arabic!E100</f>
        <v>0.25</v>
      </c>
      <c r="E100" s="6">
        <f>'whisper-base'!H100</f>
        <v>0.68903940916061401</v>
      </c>
      <c r="F100" s="6">
        <f>'whisper-large-v3'!H100</f>
        <v>1</v>
      </c>
      <c r="G100">
        <f t="shared" si="6"/>
        <v>0.31096059083938599</v>
      </c>
      <c r="H100" s="15">
        <f>wav2vec2_arabic!H101</f>
        <v>1.0000002384185791</v>
      </c>
      <c r="I100">
        <f t="shared" si="7"/>
        <v>0</v>
      </c>
      <c r="J100">
        <f t="shared" si="8"/>
        <v>1</v>
      </c>
      <c r="K100" s="15">
        <f t="shared" si="9"/>
        <v>1</v>
      </c>
    </row>
    <row r="101" spans="1:11" x14ac:dyDescent="0.3">
      <c r="A101">
        <f>'whisper-base'!E101</f>
        <v>0.33333333333333331</v>
      </c>
      <c r="B101" s="5">
        <f>'whisper-large-v3'!E101</f>
        <v>0</v>
      </c>
      <c r="C101" s="6">
        <f t="shared" si="5"/>
        <v>-0.33333333333333331</v>
      </c>
      <c r="D101" s="16">
        <f>wav2vec2_arabic!E101</f>
        <v>0</v>
      </c>
      <c r="E101" s="6">
        <f>'whisper-base'!H101</f>
        <v>1.00000011920929</v>
      </c>
      <c r="F101" s="6">
        <f>'whisper-large-v3'!H101</f>
        <v>1.0000002384185791</v>
      </c>
      <c r="G101">
        <f t="shared" si="6"/>
        <v>1.1920928910669204E-7</v>
      </c>
      <c r="H101" s="15">
        <f>wav2vec2_arabic!H102</f>
        <v>0</v>
      </c>
      <c r="I101">
        <f t="shared" si="7"/>
        <v>1</v>
      </c>
      <c r="J101">
        <f t="shared" si="8"/>
        <v>1</v>
      </c>
      <c r="K101" s="15">
        <f t="shared" si="9"/>
        <v>0</v>
      </c>
    </row>
  </sheetData>
  <conditionalFormatting sqref="C1:C1048576">
    <cfRule type="colorScale" priority="1">
      <colorScale>
        <cfvo type="percentile" val="10"/>
        <cfvo type="max"/>
        <color rgb="FF00B050"/>
        <color theme="0"/>
      </colorScale>
    </cfRule>
    <cfRule type="colorScale" priority="2">
      <colorScale>
        <cfvo type="percentile" val="20"/>
        <cfvo type="max"/>
        <color rgb="FF00B050"/>
        <color theme="0"/>
      </colorScale>
    </cfRule>
  </conditionalFormatting>
  <conditionalFormatting sqref="G1:G1048576 I1:K1">
    <cfRule type="colorScale" priority="6">
      <colorScale>
        <cfvo type="min"/>
        <cfvo type="max"/>
        <color theme="0"/>
        <color rgb="FF00B050"/>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whisper-base</vt:lpstr>
      <vt:lpstr>whisper-large-v3</vt:lpstr>
      <vt:lpstr>wav2vec2_arabic</vt: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Felix Allard</cp:lastModifiedBy>
  <dcterms:created xsi:type="dcterms:W3CDTF">2025-06-25T19:27:21Z</dcterms:created>
  <dcterms:modified xsi:type="dcterms:W3CDTF">2025-06-26T01:58:32Z</dcterms:modified>
</cp:coreProperties>
</file>